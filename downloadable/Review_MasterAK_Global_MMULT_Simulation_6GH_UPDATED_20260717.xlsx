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7c8774ace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_MasterAK_MMULT" sheetId="1" r:id="R92da5c6161f7484f"/>
  </x:sheets>
  <calcPr xmlns="http://schemas.openxmlformats.org/spreadsheetml/2006/main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@"/>
  </x:numFmts>
  <x:fonts count="4">
    <x:font>
      <x:sz val="11"/>
      <x:name val="Carlito"/>
    </x:font>
    <x:font>
      <x:b/>
      <x:sz val="18"/>
      <x:color rgb="FFFFFF"/>
      <x:name val="Carlito"/>
    </x:font>
    <x:font>
      <x:b/>
      <x:sz val="12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2F6B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c68c7838a4f6c" /><Relationship Type="http://schemas.openxmlformats.org/officeDocument/2006/relationships/theme" Target="/xl/theme/theme1.xml" Id="R7c1415cc507f4d12" /><Relationship Type="http://schemas.openxmlformats.org/officeDocument/2006/relationships/sharedStrings" Target="/xl/sharedStrings.xml" Id="Rea2e194c63f44d04" /><Relationship Type="http://schemas.openxmlformats.org/officeDocument/2006/relationships/worksheet" Target="/xl/worksheets/sheet1.xml" Id="R92da5c6161f7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6" hidden="0" customWidth="1"/>
  </x:cols>
  <x:sheetData>
    <x:row r="1" ht="172.8000030517578" hidden="0" customHeight="1">
      <x:c r="A1" s="40" t="str">
        <x:v>Review Camera 기준 Master AK1 역참조 좌표계 생성 / 6GH(1500×925 mm) MMULT 계산 시뮬레이션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</x:row>
    <x:row r="2" ht="21.600000381469727" hidden="0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</x:row>
    <x:row r="4" ht="28.799999237060547" hidden="0" customHeight="1">
      <x:c r="A4" s="16" t="str">
        <x:v>1. 컨셉 검토 결과 / 적용 전제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</x:row>
    <x:row r="5" ht="15" hidden="0" customHeight="1">
      <x:c r="A5" s="26" t="str">
        <x:v>항목</x:v>
      </x:c>
      <x:c r="B5" s="26" t="str">
        <x:v>내용</x:v>
      </x:c>
      <x:c r="C5" s="26" t="str">
        <x:v>단위</x:v>
      </x:c>
      <x:c r="D5" s="26" t="str">
        <x:v>비고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</x:row>
    <x:row r="6" ht="145.1999969482422" hidden="0" customHeight="1">
      <x:c r="A6" s="34" t="str">
        <x:v>검토 결론</x:v>
      </x:c>
      <x:c r="B6" s="34" t="str">
        <x:v>방향성은 타당함</x:v>
      </x:c>
      <x:c r="C6" s="34" t="str">
        <x:v>-</x:v>
      </x:c>
      <x:c r="D6" s="34" t="str">
        <x:v>Review Camera로 Master AK1 위치를 실측해 Recipe Local의 Translation Anchor로 사용하는 구조는 유효함</x:v>
      </x:c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</x:row>
    <x:row r="7" ht="118.80000305175781" hidden="0" customHeight="1">
      <x:c r="A7" s="34" t="str">
        <x:v>핵심 전제 1</x:v>
      </x:c>
      <x:c r="B7" s="34" t="str">
        <x:v>Vision Alignment로 θ_align 확보</x:v>
      </x:c>
      <x:c r="C7" s="34" t="str">
        <x:v>deg</x:v>
      </x:c>
      <x:c r="D7" s="34" t="str">
        <x:v>사용자 조건대로 Vision Align에서 구한 기판 중심 기준 X/Y/θ 중 θ_align을 사용함</x:v>
      </x:c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</x:row>
    <x:row r="8" ht="79.19999694824219" hidden="0" customHeight="1">
      <x:c r="A8" s="34" t="str">
        <x:v>핵심 전제 2</x:v>
      </x:c>
      <x:c r="B8" s="34" t="str">
        <x:v>Review / Align / Scanner 동일 Machine Global 정합</x:v>
      </x:c>
      <x:c r="C8" s="34" t="str">
        <x:v>mm</x:v>
      </x:c>
      <x:c r="D8" s="34" t="str">
        <x:v>같은 원점, 같은 축 방향, 같은 Calibration 기준이어야 함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</x:row>
    <x:row r="9" ht="79.19999694824219" hidden="0" customHeight="1">
      <x:c r="A9" s="34" t="str">
        <x:v>핵심 전제 3</x:v>
      </x:c>
      <x:c r="B9" s="34" t="str">
        <x:v>Head Center는 Review 기준 Offset + Install Offset으로 관리</x:v>
      </x:c>
      <x:c r="C9" s="34" t="str">
        <x:v>mm</x:v>
      </x:c>
      <x:c r="D9" s="34" t="str">
        <x:v>설계 Offset만 쓰지 말고 설치/Default Offset을 포함한 Virtual Center로 관리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</x:row>
    <x:row r="10" ht="105.5999984741211" hidden="0" customHeight="1">
      <x:c r="A10" s="34" t="str">
        <x:v>장점</x:v>
      </x:c>
      <x:c r="B10" s="34" t="str">
        <x:v>Review 기준 Global Offset을 모든 Head 공통 보정량으로 사용 가능</x:v>
      </x:c>
      <x:c r="C10" s="34" t="str">
        <x:v>mm</x:v>
      </x:c>
      <x:c r="D10" s="34" t="str">
        <x:v>Review 결과를 Global Error로 변환하면 Head별 좌표계와 무관하게 공정 Offset 적용 가능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</x:row>
    <x:row r="11" ht="92.4000015258789" hidden="0" customHeight="1">
      <x:c r="A11" s="34" t="str">
        <x:v>주의</x:v>
      </x:c>
      <x:c r="B11" s="34" t="str">
        <x:v>Translation은 Review AK1 측정으로 대체 가능하나 θ는 별도 필요</x:v>
      </x:c>
      <x:c r="C11" s="34" t="str">
        <x:v>deg</x:v>
      </x:c>
      <x:c r="D11" s="34" t="str">
        <x:v>θ를 무시하면 Master AK에서 멀어진 Cell일수록 위치 오차가 누적됨</x:v>
      </x:c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</x:row>
    <x:row r="12" ht="15" hidden="0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</x:row>
    <x:row r="13" ht="43.20000076293945" hidden="0" customHeight="1">
      <x:c r="A13" s="16" t="str">
        <x:v>2. 권장 Global 기준 및 6GH 대상물 / Review 기준 기지값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</x:row>
    <x:row r="14" ht="15" hidden="0" customHeight="1">
      <x:c r="A14" s="26" t="str">
        <x:v>항목</x:v>
      </x:c>
      <x:c r="B14" s="26" t="str">
        <x:v>X / 값</x:v>
      </x:c>
      <x:c r="C14" s="26" t="str">
        <x:v>Y / 값</x:v>
      </x:c>
      <x:c r="D14" s="26" t="str">
        <x:v>단위</x:v>
      </x:c>
      <x:c r="E14" s="26" t="str">
        <x:v>설명</x:v>
      </x:c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</x:row>
    <x:row r="15" ht="39.599998474121094" hidden="0" customHeight="1">
      <x:c r="A15" s="34" t="str">
        <x:v>Panel Size 6GH</x:v>
      </x:c>
      <x:c r="B15" s="34" t="n">
        <x:v>1500</x:v>
      </x:c>
      <x:c r="C15" s="34" t="n">
        <x:v>925</x:v>
      </x:c>
      <x:c r="D15" s="34" t="str">
        <x:v>mm</x:v>
      </x:c>
      <x:c r="E15" s="34" t="str">
        <x:v>장변 Xg=1500 mm, 단변 Yg=925 mm / 주행방향은 단변 방향(+Yg, Front→Rear)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</x:row>
    <x:row r="16" ht="52.79999923706055" hidden="0" customHeight="1">
      <x:c r="A16" s="34" t="str">
        <x:v>Align Key Edge Margin</x:v>
      </x:c>
      <x:c r="B16" s="34" t="n">
        <x:v>55</x:v>
      </x:c>
      <x:c r="C16" s="34" t="n">
        <x:v>45</x:v>
      </x:c>
      <x:c r="D16" s="34" t="str">
        <x:v>mm</x:v>
      </x:c>
      <x:c r="E16" s="34" t="str">
        <x:v>AK는 4꼭지점 근처 배치. AK1 기준 X 방향 유효거리=1500-2×55, Y 방향 유효거리=925-2×45</x:v>
      </x:c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</x:row>
    <x:row r="17" ht="39.599998474121094" hidden="0" customHeight="1">
      <x:c r="A17" s="34" t="str">
        <x:v>Review Camera Center Global</x:v>
      </x:c>
      <x:c r="B17" s="34" t="n">
        <x:v>105</x:v>
      </x:c>
      <x:c r="C17" s="34" t="n">
        <x:v>1200</x:v>
      </x:c>
      <x:c r="D17" s="34" t="str">
        <x:v>mm</x:v>
      </x:c>
      <x:c r="E17" s="34" t="str">
        <x:v>현재 Review X / Main Y 위치에서 Review 이미지 중심점의 Machine Global 좌표</x:v>
      </x:c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</x:row>
    <x:row r="18" ht="15" hidden="0" customHeight="1">
      <x:c r="A18" s="34" t="str">
        <x:v>Review Pixel Center</x:v>
      </x:c>
      <x:c r="B18" s="34" t="n">
        <x:v>1224</x:v>
      </x:c>
      <x:c r="C18" s="34" t="n">
        <x:v>1024</x:v>
      </x:c>
      <x:c r="D18" s="34" t="str">
        <x:v>px</x:v>
      </x:c>
      <x:c r="E18" s="34" t="str">
        <x:v>Review 이미지 중심 U0/V0</x:v>
      </x:c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</x:row>
    <x:row r="19" ht="39.599998474121094" hidden="0" customHeight="1">
      <x:c r="A19" s="34" t="str">
        <x:v>Review Pixel Scale</x:v>
      </x:c>
      <x:c r="B19" s="34" t="n">
        <x:v>0.00345</x:v>
      </x:c>
      <x:c r="C19" s="34" t="n">
        <x:v>0.00345</x:v>
      </x:c>
      <x:c r="D19" s="34" t="str">
        <x:v>mm/px</x:v>
      </x:c>
      <x:c r="E19" s="34" t="str">
        <x:v>예시 단순 2×2 Affine 모델. 실제는 H_review 또는 보정행렬 사용 권장</x:v>
      </x:c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</x:row>
    <x:row r="20" ht="39.599998474121094" hidden="0" customHeight="1">
      <x:c r="A20" s="34" t="str">
        <x:v>Vision θ_align</x:v>
      </x:c>
      <x:c r="B20" s="34" t="n">
        <x:v>0.05</x:v>
      </x:c>
      <x:c r="C20" s="34" t="str"/>
      <x:c r="D20" s="34" t="str">
        <x:v>deg</x:v>
      </x:c>
      <x:c r="E20" s="34" t="str">
        <x:v>Vision Alignment 결과 중 회전값. Translation은 Review 측정 AK1 Anchor 사용</x:v>
      </x:c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</x:row>
    <x:row r="21" ht="52.79999923706055" hidden="0" customHeight="1">
      <x:c r="A21" s="34" t="str">
        <x:v>Machine Global Origin</x:v>
      </x:c>
      <x:c r="B21" s="34" t="str">
        <x:v>UVW Center @ Main Y=0, Review X=0 + Calibration Offset</x:v>
      </x:c>
      <x:c r="C21" s="34" t="str"/>
      <x:c r="D21" s="34" t="str">
        <x:v>mm</x:v>
      </x:c>
      <x:c r="E21" s="34" t="str">
        <x:v>설비 고정 공통 원점. 기판 중심은 Align마다 변하므로 Global 원점으로 사용하지 않음</x:v>
      </x:c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</x:row>
    <x:row r="22" ht="15" hidden="0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</x:row>
    <x:row r="23" ht="15" hidden="0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</x:row>
    <x:row r="24" ht="57.599998474121094" hidden="0" customHeight="1">
      <x:c r="A24" s="16" t="str">
        <x:v>3. Review Camera로 Master AK1 측정 → AK1 Global Anchor 생성 [MMULT]</x:v>
      </x:c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</x:row>
    <x:row r="25" ht="15" hidden="0" customHeight="1">
      <x:c r="A25" s="26" t="str">
        <x:v>입력/계산</x:v>
      </x:c>
      <x:c r="B25" s="26" t="str">
        <x:v>U 또는 X</x:v>
      </x:c>
      <x:c r="C25" s="26" t="str">
        <x:v>V 또는 Y</x:v>
      </x:c>
      <x:c r="D25" s="26" t="str">
        <x:v>단위</x:v>
      </x:c>
      <x:c r="E25" s="26" t="str">
        <x:v>설명</x:v>
      </x:c>
      <x:c r="F25" s="26"/>
      <x:c r="G25" s="26" t="str">
        <x:v>A_review Matrix</x:v>
      </x:c>
      <x:c r="H25" s="26" t="str"/>
      <x:c r="I25" s="26"/>
      <x:c r="J25" s="26" t="str">
        <x:v>Pixel Offset Vector</x:v>
      </x:c>
      <x:c r="K25" s="26"/>
      <x:c r="L25" s="26" t="str">
        <x:v>결과</x:v>
      </x:c>
      <x:c r="M25" s="26" t="str">
        <x:v>값</x:v>
      </x:c>
      <x:c r="N25" s="32"/>
      <x:c r="O25" s="32"/>
      <x:c r="P25" s="32"/>
      <x:c r="Q25" s="32"/>
    </x:row>
    <x:row r="26" ht="26.399999618530273" hidden="0" customHeight="1">
      <x:c r="A26" s="34" t="str">
        <x:v>Measured AK1 Pixel</x:v>
      </x:c>
      <x:c r="B26" s="34" t="n">
        <x:v>1282</x:v>
      </x:c>
      <x:c r="C26" s="34" t="n">
        <x:v>1053</x:v>
      </x:c>
      <x:c r="D26" s="34" t="str">
        <x:v>px</x:v>
      </x:c>
      <x:c r="E26" s="34" t="str">
        <x:v>Review 이미지에서 검출된 Master AK1 중심 Pixel</x:v>
      </x:c>
      <x:c r="F26" s="34"/>
      <x:c r="G26" s="34" t="n">
        <x:f>$B$19</x:f>
        <x:v>0.00345</x:v>
      </x:c>
      <x:c r="H26" s="34" t="n">
        <x:v>0</x:v>
      </x:c>
      <x:c r="I26" s="34"/>
      <x:c r="J26" s="34" t="n">
        <x:f>B27</x:f>
        <x:v>58</x:v>
      </x:c>
      <x:c r="K26" s="34"/>
      <x:c r="L26" s="34" t="str">
        <x:v>AK1 Global X</x:v>
      </x:c>
      <x:c r="M26" s="34" t="n">
        <x:f>B30</x:f>
        <x:v>105.2001</x:v>
      </x:c>
      <x:c r="N26" s="32"/>
      <x:c r="O26" s="32"/>
      <x:c r="P26" s="32"/>
      <x:c r="Q26" s="32"/>
    </x:row>
    <x:row r="27" ht="15" hidden="0" customHeight="1">
      <x:c r="A27" s="34" t="str">
        <x:v>ΔPixel = Measured - Center</x:v>
      </x:c>
      <x:c r="B27" s="34" t="n">
        <x:f>B26-$B$18</x:f>
        <x:v>58</x:v>
      </x:c>
      <x:c r="C27" s="34" t="n">
        <x:f>C26-$C$18</x:f>
        <x:v>29</x:v>
      </x:c>
      <x:c r="D27" s="34" t="str">
        <x:v>px</x:v>
      </x:c>
      <x:c r="E27" s="34" t="str">
        <x:v>이미지 중심 대비 Pixel Offset</x:v>
      </x:c>
      <x:c r="F27" s="34"/>
      <x:c r="G27" s="34" t="n">
        <x:v>0</x:v>
      </x:c>
      <x:c r="H27" s="34" t="n">
        <x:f>$C$19</x:f>
        <x:v>0.00345</x:v>
      </x:c>
      <x:c r="I27" s="34"/>
      <x:c r="J27" s="34" t="n">
        <x:f>C27</x:f>
        <x:v>29</x:v>
      </x:c>
      <x:c r="K27" s="34"/>
      <x:c r="L27" s="34" t="str">
        <x:v>AK1 Global Y</x:v>
      </x:c>
      <x:c r="M27" s="34" t="n">
        <x:f>C30</x:f>
        <x:v>1200.10005</x:v>
      </x:c>
      <x:c r="N27" s="32"/>
      <x:c r="O27" s="32"/>
      <x:c r="P27" s="32"/>
      <x:c r="Q27" s="32"/>
    </x:row>
    <x:row r="28" ht="15" hidden="0" customHeight="1">
      <x:c r="A28" s="34" t="str">
        <x:v>Review Center Global</x:v>
      </x:c>
      <x:c r="B28" s="34" t="n">
        <x:f>$B$17</x:f>
        <x:v>105</x:v>
      </x:c>
      <x:c r="C28" s="34" t="n">
        <x:f>$C$17</x:f>
        <x:v>1200</x:v>
      </x:c>
      <x:c r="D28" s="34" t="str">
        <x:v>mm</x:v>
      </x:c>
      <x:c r="E28" s="34" t="str">
        <x:v>Review Camera 중심 Global 좌표</x:v>
      </x:c>
      <x:c r="F28" s="34"/>
      <x:c r="G28" s="34"/>
      <x:c r="H28" s="34"/>
      <x:c r="I28" s="34"/>
      <x:c r="J28" s="34"/>
      <x:c r="K28" s="34"/>
      <x:c r="L28" s="34" t="str">
        <x:v>Translation Anchor</x:v>
      </x:c>
      <x:c r="M28" s="34" t="str">
        <x:v>P_AK1_global [mm]</x:v>
      </x:c>
      <x:c r="N28" s="32"/>
      <x:c r="O28" s="32"/>
      <x:c r="P28" s="32"/>
      <x:c r="Q28" s="32"/>
    </x:row>
    <x:row r="29" ht="15" hidden="0" customHeight="1">
      <x:c r="A29" s="34" t="str">
        <x:v>Pixel→Global Offset</x:v>
      </x:c>
      <x:c r="B29" s="34" t="n">
        <x:f>INDEX(MMULT($G$26:$H$27,$J$26:$J$27),1,1)</x:f>
        <x:v>0.2001</x:v>
      </x:c>
      <x:c r="C29" s="34" t="n">
        <x:f>INDEX(MMULT($G$26:$H$27,$J$26:$J$27),2,1)</x:f>
        <x:v>0.10005</x:v>
      </x:c>
      <x:c r="D29" s="34" t="str">
        <x:v>mm</x:v>
      </x:c>
      <x:c r="E29" s="34" t="str">
        <x:v>MMULT(A_review, ΔPixel) 결과</x:v>
      </x:c>
      <x:c r="F29" s="34"/>
      <x:c r="G29" s="34"/>
      <x:c r="H29" s="34"/>
      <x:c r="I29" s="34"/>
      <x:c r="J29" s="34"/>
      <x:c r="K29" s="34"/>
      <x:c r="L29" s="34"/>
      <x:c r="M29" s="34"/>
      <x:c r="N29" s="32"/>
      <x:c r="O29" s="32"/>
      <x:c r="P29" s="32"/>
      <x:c r="Q29" s="32"/>
    </x:row>
    <x:row r="30" ht="26.399999618530273" hidden="0" customHeight="1">
      <x:c r="A30" s="34" t="str">
        <x:v>AK1 Global Anchor</x:v>
      </x:c>
      <x:c r="B30" s="34" t="n">
        <x:f>B28+B29</x:f>
        <x:v>105.2001</x:v>
      </x:c>
      <x:c r="C30" s="34" t="n">
        <x:f>C28+C29</x:f>
        <x:v>1200.10005</x:v>
      </x:c>
      <x:c r="D30" s="34" t="str">
        <x:v>mm</x:v>
      </x:c>
      <x:c r="E30" s="34" t="str">
        <x:v>P_AK1_global = ReviewCenter + PixelOffsetGlobal</x:v>
      </x:c>
      <x:c r="F30" s="34"/>
      <x:c r="G30" s="34"/>
      <x:c r="H30" s="34"/>
      <x:c r="I30" s="34"/>
      <x:c r="J30" s="34"/>
      <x:c r="K30" s="34"/>
      <x:c r="L30" s="34"/>
      <x:c r="M30" s="34"/>
      <x:c r="N30" s="32"/>
      <x:c r="O30" s="32"/>
      <x:c r="P30" s="32"/>
      <x:c r="Q30" s="32"/>
    </x:row>
    <x:row r="31" ht="26.399999618530273" hidden="0" customHeight="1">
      <x:c r="A31" s="34" t="str">
        <x:v>비고</x:v>
      </x:c>
      <x:c r="B31" s="34" t="str">
        <x:v>AK1 Master(-Xp,-Yp)</x:v>
      </x:c>
      <x:c r="C31" s="34" t="str">
        <x:v>Recipe Local 원점</x:v>
      </x:c>
      <x:c r="D31" s="34" t="str">
        <x:v>mm</x:v>
      </x:c>
      <x:c r="E31" s="34" t="str">
        <x:v>이 값이 전체 Recipe Local 좌표계의 Translation Anchor</x:v>
      </x:c>
      <x:c r="F31" s="34"/>
      <x:c r="G31" s="34"/>
      <x:c r="H31" s="34"/>
      <x:c r="I31" s="34"/>
      <x:c r="J31" s="34"/>
      <x:c r="K31" s="34"/>
      <x:c r="L31" s="34"/>
      <x:c r="M31" s="34"/>
      <x:c r="N31" s="32"/>
      <x:c r="O31" s="32"/>
      <x:c r="P31" s="32"/>
      <x:c r="Q31" s="32"/>
    </x:row>
    <x:row r="32" ht="15" hidden="0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</x:row>
    <x:row r="33" ht="57.599998474121094" hidden="0" customHeight="1">
      <x:c r="A33" s="16" t="str">
        <x:v>4. 4점 Align Key Design / Camera #1~#4 배치 및 θ_align 반영 Global 예측 [MMULT]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</x:row>
    <x:row r="34" ht="15" hidden="0" customHeight="1">
      <x:c r="A34" s="26" t="str">
        <x:v>AK</x:v>
      </x:c>
      <x:c r="B34" s="26" t="str">
        <x:v>Camera</x:v>
      </x:c>
      <x:c r="C34" s="26" t="str">
        <x:v>위치</x:v>
      </x:c>
      <x:c r="D34" s="26" t="str">
        <x:v>Local X</x:v>
      </x:c>
      <x:c r="E34" s="26" t="str">
        <x:v>Local Y</x:v>
      </x:c>
      <x:c r="F34" s="26" t="str">
        <x:v>R·Local X</x:v>
      </x:c>
      <x:c r="G34" s="26" t="str">
        <x:v>R·Local Y</x:v>
      </x:c>
      <x:c r="H34" s="26" t="str">
        <x:v>Global X</x:v>
      </x:c>
      <x:c r="I34" s="26" t="str">
        <x:v>Global Y</x:v>
      </x:c>
      <x:c r="J34" s="26" t="str">
        <x:v>단위</x:v>
      </x:c>
      <x:c r="K34" s="32"/>
      <x:c r="L34" s="32" t="str">
        <x:v>R Matrix</x:v>
      </x:c>
      <x:c r="M34" s="32" t="str"/>
      <x:c r="N34" s="32"/>
      <x:c r="O34" s="32" t="str">
        <x:v>설명</x:v>
      </x:c>
      <x:c r="P34" s="32" t="str">
        <x:v>값</x:v>
      </x:c>
      <x:c r="Q34" s="32" t="str">
        <x:v>단위</x:v>
      </x:c>
    </x:row>
    <x:row r="35" ht="26.399999618530273" hidden="0" customHeight="1">
      <x:c r="A35" s="34" t="str">
        <x:v>AK1</x:v>
      </x:c>
      <x:c r="B35" s="34" t="str">
        <x:v>Cam#1</x:v>
      </x:c>
      <x:c r="C35" s="34" t="str">
        <x:v>Master Front</x:v>
      </x:c>
      <x:c r="D35" s="34" t="n">
        <x:v>0</x:v>
      </x:c>
      <x:c r="E35" s="34" t="n">
        <x:v>0</x:v>
      </x:c>
      <x:c r="F35" s="34" t="n">
        <x:f>INDEX(MMULT($L$35:$M$36,TRANSPOSE(D35:E35)),1,1)</x:f>
        <x:v>0</x:v>
      </x:c>
      <x:c r="G35" s="34" t="n">
        <x:f>INDEX(MMULT($L$35:$M$36,TRANSPOSE(D35:E35)),2,1)</x:f>
        <x:v>0</x:v>
      </x:c>
      <x:c r="H35" s="34" t="n">
        <x:f>$B$30+F35</x:f>
        <x:v>105.2001</x:v>
      </x:c>
      <x:c r="I35" s="34" t="n">
        <x:f>$C$30+G35</x:f>
        <x:v>1200.10005</x:v>
      </x:c>
      <x:c r="J35" s="34" t="str">
        <x:v>mm</x:v>
      </x:c>
      <x:c r="K35" s="34"/>
      <x:c r="L35" s="34" t="n">
        <x:f>COS(RADIANS($B$20))</x:f>
        <x:v>0.9999996192282494</x:v>
      </x:c>
      <x:c r="M35" s="34" t="n">
        <x:f>-SIN(RADIANS($B$20))</x:f>
        <x:v>-0.0008726645152351496</x:v>
      </x:c>
      <x:c r="N35" s="34"/>
      <x:c r="O35" s="34" t="str">
        <x:v>AK1 = Master Front / Camera #1</x:v>
      </x:c>
      <x:c r="P35" s="34" t="str">
        <x:v>Origin</x:v>
      </x:c>
      <x:c r="Q35" s="34" t="str">
        <x:v>mm</x:v>
      </x:c>
    </x:row>
    <x:row r="36" ht="26.399999618530273" hidden="0" customHeight="1">
      <x:c r="A36" s="34" t="str">
        <x:v>AK2</x:v>
      </x:c>
      <x:c r="B36" s="34" t="str">
        <x:v>Cam#2</x:v>
      </x:c>
      <x:c r="C36" s="34" t="str">
        <x:v>Master Rear</x:v>
      </x:c>
      <x:c r="D36" s="34" t="n">
        <x:v>0</x:v>
      </x:c>
      <x:c r="E36" s="34" t="n">
        <x:f>$C$15-2*$C$16</x:f>
        <x:v>835</x:v>
      </x:c>
      <x:c r="F36" s="34" t="n">
        <x:f>INDEX(MMULT($L$35:$M$36,TRANSPOSE(D36:E36)),1,1)</x:f>
        <x:v>-0.7286748702213499</x:v>
      </x:c>
      <x:c r="G36" s="34" t="n">
        <x:f>INDEX(MMULT($L$35:$M$36,TRANSPOSE(D36:E36)),2,1)</x:f>
        <x:v>834.9996820555883</x:v>
      </x:c>
      <x:c r="H36" s="34" t="n">
        <x:f>$B$30+F36</x:f>
        <x:v>104.47142512977865</x:v>
      </x:c>
      <x:c r="I36" s="34" t="n">
        <x:f>$C$30+G36</x:f>
        <x:v>2035.0997320555884</x:v>
      </x:c>
      <x:c r="J36" s="34" t="str">
        <x:v>mm</x:v>
      </x:c>
      <x:c r="K36" s="34"/>
      <x:c r="L36" s="34" t="n">
        <x:f>SIN(RADIANS($B$20))</x:f>
        <x:v>0.0008726645152351496</x:v>
      </x:c>
      <x:c r="M36" s="34" t="n">
        <x:f>COS(RADIANS($B$20))</x:f>
        <x:v>0.9999996192282494</x:v>
      </x:c>
      <x:c r="N36" s="34"/>
      <x:c r="O36" s="34" t="str">
        <x:v>AK2 = Master Rear / Camera #2</x:v>
      </x:c>
      <x:c r="P36" s="34" t="str">
        <x:v>Y 방향 Rear</x:v>
      </x:c>
      <x:c r="Q36" s="34" t="str">
        <x:v>mm</x:v>
      </x:c>
    </x:row>
    <x:row r="37" ht="26.399999618530273" hidden="0" customHeight="1">
      <x:c r="A37" s="34" t="str">
        <x:v>AK3</x:v>
      </x:c>
      <x:c r="B37" s="34" t="str">
        <x:v>Cam#3</x:v>
      </x:c>
      <x:c r="C37" s="34" t="str">
        <x:v>Slave Front</x:v>
      </x:c>
      <x:c r="D37" s="34" t="n">
        <x:f>$B$15-2*$B$16</x:f>
        <x:v>1390</x:v>
      </x:c>
      <x:c r="E37" s="34" t="n">
        <x:v>0</x:v>
      </x:c>
      <x:c r="F37" s="34" t="n">
        <x:f>INDEX(MMULT($L$35:$M$36,TRANSPOSE(D37:E37)),1,1)</x:f>
        <x:v>1389.9994707272667</x:v>
      </x:c>
      <x:c r="G37" s="34" t="n">
        <x:f>INDEX(MMULT($L$35:$M$36,TRANSPOSE(D37:E37)),2,1)</x:f>
        <x:v>1.213003676176858</x:v>
      </x:c>
      <x:c r="H37" s="34" t="n">
        <x:f>$B$30+F37</x:f>
        <x:v>1495.1995707272667</x:v>
      </x:c>
      <x:c r="I37" s="34" t="n">
        <x:f>$C$30+G37</x:f>
        <x:v>1201.3130536761769</x:v>
      </x:c>
      <x:c r="J37" s="34" t="str">
        <x:v>mm</x:v>
      </x:c>
      <x:c r="K37" s="34"/>
      <x:c r="L37" s="34"/>
      <x:c r="M37" s="34"/>
      <x:c r="N37" s="34"/>
      <x:c r="O37" s="34" t="str">
        <x:v>AK3 = Slave Front / Camera #3</x:v>
      </x:c>
      <x:c r="P37" s="34" t="str">
        <x:v>X 방향 Slave</x:v>
      </x:c>
      <x:c r="Q37" s="34" t="str">
        <x:v>mm</x:v>
      </x:c>
    </x:row>
    <x:row r="38" ht="26.399999618530273" hidden="0" customHeight="1">
      <x:c r="A38" s="34" t="str">
        <x:v>AK4</x:v>
      </x:c>
      <x:c r="B38" s="34" t="str">
        <x:v>Cam#4</x:v>
      </x:c>
      <x:c r="C38" s="34" t="str">
        <x:v>Slave Rear</x:v>
      </x:c>
      <x:c r="D38" s="34" t="n">
        <x:f>$B$15-2*$B$16</x:f>
        <x:v>1390</x:v>
      </x:c>
      <x:c r="E38" s="34" t="n">
        <x:f>$C$15-2*$C$16</x:f>
        <x:v>835</x:v>
      </x:c>
      <x:c r="F38" s="34" t="n">
        <x:f>INDEX(MMULT($L$35:$M$36,TRANSPOSE(D38:E38)),1,1)</x:f>
        <x:v>1389.2707958570454</x:v>
      </x:c>
      <x:c r="G38" s="34" t="n">
        <x:f>INDEX(MMULT($L$35:$M$36,TRANSPOSE(D38:E38)),2,1)</x:f>
        <x:v>836.2126857317652</x:v>
      </x:c>
      <x:c r="H38" s="34" t="n">
        <x:f>$B$30+F38</x:f>
        <x:v>1494.4708958570454</x:v>
      </x:c>
      <x:c r="I38" s="34" t="n">
        <x:f>$C$30+G38</x:f>
        <x:v>2036.3127357317653</x:v>
      </x:c>
      <x:c r="J38" s="34" t="str">
        <x:v>mm</x:v>
      </x:c>
      <x:c r="K38" s="34"/>
      <x:c r="L38" s="34"/>
      <x:c r="M38" s="34"/>
      <x:c r="N38" s="34"/>
      <x:c r="O38" s="34" t="str">
        <x:v>AK4 = Slave Rear / Camera #4</x:v>
      </x:c>
      <x:c r="P38" s="34" t="str">
        <x:v>대각 위치</x:v>
      </x:c>
      <x:c r="Q38" s="34" t="str">
        <x:v>mm</x:v>
      </x:c>
    </x:row>
    <x:row r="39" ht="15" hidden="0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</x:row>
    <x:row r="40" ht="57.599998474121094" hidden="0" customHeight="1">
      <x:c r="A40" s="16" t="str">
        <x:v>5. Master AK1 기준 Recipe Local 가공좌표 → Align 반영 Target Global [MMULT]</x:v>
      </x:c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</x:row>
    <x:row r="41" ht="15" hidden="0" customHeight="1">
      <x:c r="A41" s="26" t="str">
        <x:v>입력/계산</x:v>
      </x:c>
      <x:c r="B41" s="26" t="str">
        <x:v>X</x:v>
      </x:c>
      <x:c r="C41" s="26" t="str">
        <x:v>Y</x:v>
      </x:c>
      <x:c r="D41" s="26" t="str">
        <x:v>단위</x:v>
      </x:c>
      <x:c r="E41" s="26" t="str">
        <x:v>설명</x:v>
      </x:c>
      <x:c r="F41" s="26"/>
      <x:c r="G41" s="26" t="str">
        <x:v>결과 항목</x:v>
      </x:c>
      <x:c r="H41" s="26" t="str">
        <x:v>X</x:v>
      </x:c>
      <x:c r="I41" s="26" t="str">
        <x:v>Y</x:v>
      </x:c>
      <x:c r="J41" s="32"/>
      <x:c r="K41" s="32"/>
      <x:c r="L41" s="32"/>
      <x:c r="M41" s="32"/>
      <x:c r="N41" s="32"/>
      <x:c r="O41" s="32"/>
      <x:c r="P41" s="32"/>
      <x:c r="Q41" s="32"/>
    </x:row>
    <x:row r="42" ht="15" hidden="0" customHeight="1">
      <x:c r="A42" s="34" t="str">
        <x:v>Cell First</x:v>
      </x:c>
      <x:c r="B42" s="34" t="n">
        <x:v>50</x:v>
      </x:c>
      <x:c r="C42" s="34" t="n">
        <x:v>35</x:v>
      </x:c>
      <x:c r="D42" s="34" t="str">
        <x:v>mm</x:v>
      </x:c>
      <x:c r="E42" s="34" t="str">
        <x:v>Master AK1 기준 첫 Cell 위치</x:v>
      </x:c>
      <x:c r="F42" s="34"/>
      <x:c r="G42" s="34" t="str">
        <x:v>P_local [mm]</x:v>
      </x:c>
      <x:c r="H42" s="34" t="n">
        <x:f>B46</x:f>
        <x:v>760</x:v>
      </x:c>
      <x:c r="I42" s="34" t="n">
        <x:f>C46</x:f>
        <x:v>440</x:v>
      </x:c>
      <x:c r="J42" s="32"/>
      <x:c r="K42" s="32"/>
      <x:c r="L42" s="32"/>
      <x:c r="M42" s="32"/>
      <x:c r="N42" s="32"/>
      <x:c r="O42" s="32"/>
      <x:c r="P42" s="32"/>
      <x:c r="Q42" s="32"/>
    </x:row>
    <x:row r="43" ht="15" hidden="0" customHeight="1">
      <x:c r="A43" s="34" t="str">
        <x:v>Cell Index</x:v>
      </x:c>
      <x:c r="B43" s="34" t="n">
        <x:v>14</x:v>
      </x:c>
      <x:c r="C43" s="34" t="n">
        <x:v>9</x:v>
      </x:c>
      <x:c r="D43" s="34" t="str">
        <x:v>-</x:v>
      </x:c>
      <x:c r="E43" s="34" t="str">
        <x:v>Column / Row Index</x:v>
      </x:c>
      <x:c r="F43" s="34"/>
      <x:c r="G43" s="34" t="str">
        <x:v>R·P_local [mm]</x:v>
      </x:c>
      <x:c r="H43" s="34" t="n">
        <x:f>B47</x:f>
        <x:v>759.6157382267661</x:v>
      </x:c>
      <x:c r="I43" s="34" t="n">
        <x:f>C47</x:f>
        <x:v>440.6630574920084</x:v>
      </x:c>
      <x:c r="J43" s="32"/>
      <x:c r="K43" s="32"/>
      <x:c r="L43" s="32"/>
      <x:c r="M43" s="32"/>
      <x:c r="N43" s="32"/>
      <x:c r="O43" s="32"/>
      <x:c r="P43" s="32"/>
      <x:c r="Q43" s="32"/>
    </x:row>
    <x:row r="44" ht="15" hidden="0" customHeight="1">
      <x:c r="A44" s="34" t="str">
        <x:v>Pitch</x:v>
      </x:c>
      <x:c r="B44" s="34" t="n">
        <x:v>50</x:v>
      </x:c>
      <x:c r="C44" s="34" t="n">
        <x:v>45</x:v>
      </x:c>
      <x:c r="D44" s="34" t="str">
        <x:v>mm</x:v>
      </x:c>
      <x:c r="E44" s="34" t="str">
        <x:v>Cell 간 Pitch</x:v>
      </x:c>
      <x:c r="F44" s="34"/>
      <x:c r="G44" s="34" t="str">
        <x:v>Target Global [mm]</x:v>
      </x:c>
      <x:c r="H44" s="34" t="n">
        <x:f>B48</x:f>
        <x:v>864.8158382267661</x:v>
      </x:c>
      <x:c r="I44" s="34" t="n">
        <x:f>C48</x:f>
        <x:v>1640.7631074920084</x:v>
      </x:c>
      <x:c r="J44" s="32"/>
      <x:c r="K44" s="32"/>
      <x:c r="L44" s="32"/>
      <x:c r="M44" s="32"/>
      <x:c r="N44" s="32"/>
      <x:c r="O44" s="32"/>
      <x:c r="P44" s="32"/>
      <x:c r="Q44" s="32"/>
    </x:row>
    <x:row r="45" ht="15" hidden="0" customHeight="1">
      <x:c r="A45" s="34" t="str">
        <x:v>Pattern Offset</x:v>
      </x:c>
      <x:c r="B45" s="34" t="n">
        <x:v>10</x:v>
      </x:c>
      <x:c r="C45" s="34" t="n">
        <x:v>0</x:v>
      </x:c>
      <x:c r="D45" s="34" t="str">
        <x:v>mm</x:v>
      </x:c>
      <x:c r="E45" s="34" t="str">
        <x:v>Cell 내부 가공점 Offset</x:v>
      </x:c>
      <x:c r="F45" s="34"/>
      <x:c r="G45" s="34"/>
      <x:c r="H45" s="34"/>
      <x:c r="I45" s="34"/>
      <x:c r="J45" s="32"/>
      <x:c r="K45" s="32"/>
      <x:c r="L45" s="32"/>
      <x:c r="M45" s="32"/>
      <x:c r="N45" s="32"/>
      <x:c r="O45" s="32"/>
      <x:c r="P45" s="32"/>
      <x:c r="Q45" s="32"/>
    </x:row>
    <x:row r="46" ht="15" hidden="0" customHeight="1">
      <x:c r="A46" s="34" t="str">
        <x:v>P_local</x:v>
      </x:c>
      <x:c r="B46" s="34" t="n">
        <x:f>B42+B43*B44+B45</x:f>
        <x:v>760</x:v>
      </x:c>
      <x:c r="C46" s="34" t="n">
        <x:f>C42+C43*C44+C45</x:f>
        <x:v>440</x:v>
      </x:c>
      <x:c r="D46" s="34" t="str">
        <x:v>mm</x:v>
      </x:c>
      <x:c r="E46" s="34" t="str">
        <x:v>Cell First + Index×Pitch + Pattern</x:v>
      </x:c>
      <x:c r="F46" s="34"/>
      <x:c r="G46" s="34"/>
      <x:c r="H46" s="34"/>
      <x:c r="I46" s="34"/>
      <x:c r="J46" s="32"/>
      <x:c r="K46" s="32"/>
      <x:c r="L46" s="32"/>
      <x:c r="M46" s="32"/>
      <x:c r="N46" s="32"/>
      <x:c r="O46" s="32"/>
      <x:c r="P46" s="32"/>
      <x:c r="Q46" s="32"/>
    </x:row>
    <x:row r="47" ht="15" hidden="0" customHeight="1">
      <x:c r="A47" s="34" t="str">
        <x:v>R·P_local</x:v>
      </x:c>
      <x:c r="B47" s="34" t="n">
        <x:f>INDEX(MMULT($L$35:$M$36,TRANSPOSE(B46:C46)),1,1)</x:f>
        <x:v>759.6157382267661</x:v>
      </x:c>
      <x:c r="C47" s="34" t="n">
        <x:f>INDEX(MMULT($L$35:$M$36,TRANSPOSE(B46:C46)),2,1)</x:f>
        <x:v>440.6630574920084</x:v>
      </x:c>
      <x:c r="D47" s="34" t="str">
        <x:v>mm</x:v>
      </x:c>
      <x:c r="E47" s="34" t="str">
        <x:v>MMULT(R, P_local)</x:v>
      </x:c>
      <x:c r="F47" s="34"/>
      <x:c r="G47" s="34"/>
      <x:c r="H47" s="34"/>
      <x:c r="I47" s="34"/>
      <x:c r="J47" s="32"/>
      <x:c r="K47" s="32"/>
      <x:c r="L47" s="32"/>
      <x:c r="M47" s="32"/>
      <x:c r="N47" s="32"/>
      <x:c r="O47" s="32"/>
      <x:c r="P47" s="32"/>
      <x:c r="Q47" s="32"/>
    </x:row>
    <x:row r="48" ht="15" hidden="0" customHeight="1">
      <x:c r="A48" s="34" t="str">
        <x:v>P_target_global</x:v>
      </x:c>
      <x:c r="B48" s="34" t="n">
        <x:f>$B$30+B47</x:f>
        <x:v>864.8158382267661</x:v>
      </x:c>
      <x:c r="C48" s="34" t="n">
        <x:f>$C$30+C47</x:f>
        <x:v>1640.7631074920084</x:v>
      </x:c>
      <x:c r="D48" s="34" t="str">
        <x:v>mm</x:v>
      </x:c>
      <x:c r="E48" s="34" t="str">
        <x:v>P_AK1_global + R·P_local</x:v>
      </x:c>
      <x:c r="F48" s="34"/>
      <x:c r="G48" s="34"/>
      <x:c r="H48" s="34"/>
      <x:c r="I48" s="34"/>
      <x:c r="J48" s="32"/>
      <x:c r="K48" s="32"/>
      <x:c r="L48" s="32"/>
      <x:c r="M48" s="32"/>
      <x:c r="N48" s="32"/>
      <x:c r="O48" s="32"/>
      <x:c r="P48" s="32"/>
      <x:c r="Q48" s="32"/>
    </x:row>
    <x:row r="49" ht="26.399999618530273" hidden="0" customHeight="1">
      <x:c r="A49" s="34" t="str">
        <x:v>Selected Example</x:v>
      </x:c>
      <x:c r="B49" s="34" t="str">
        <x:v>Cell C14/R9 + Pattern</x:v>
      </x:c>
      <x:c r="C49" s="34" t="str"/>
      <x:c r="D49" s="34" t="str">
        <x:v>-</x:v>
      </x:c>
      <x:c r="E49" s="34" t="str">
        <x:v>H5 영역에 들어오도록 설정한 예시 좌표</x:v>
      </x:c>
      <x:c r="F49" s="34"/>
      <x:c r="G49" s="34"/>
      <x:c r="H49" s="34"/>
      <x:c r="I49" s="34"/>
      <x:c r="J49" s="32"/>
      <x:c r="K49" s="32"/>
      <x:c r="L49" s="32"/>
      <x:c r="M49" s="32"/>
      <x:c r="N49" s="32"/>
      <x:c r="O49" s="32"/>
      <x:c r="P49" s="32"/>
      <x:c r="Q49" s="32"/>
    </x:row>
    <x:row r="50" ht="15" hidden="0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</x:row>
    <x:row r="51" ht="57.599998474121094" hidden="0" customHeight="1">
      <x:c r="A51" s="16" t="inlineStr">
        <is xmlns="http://schemas.openxmlformats.org/spreadsheetml/2006/main">
          <t>6. Review Camera 물리 Offset → H1 Initial 검증 / Scanner Head Center / X Field 판정</t>
        </is>
      </x:c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</x:row>
    <x:row r="52" ht="26.399999618530273" hidden="0" customHeight="1">
      <x:c r="A52" s="26" t="str">
        <x:v>Head</x:v>
      </x:c>
      <x:c r="B52" s="26" t="str">
        <x:v>Type</x:v>
      </x:c>
      <x:c r="C52" s="26" t="str">
        <x:v>Review→Head Offset X</x:v>
      </x:c>
      <x:c r="D52" s="26" t="str">
        <x:v>Review→Head Offset Y</x:v>
      </x:c>
      <x:c r="E52" s="26" t="str">
        <x:v>Install/Default Offset X</x:v>
      </x:c>
      <x:c r="F52" s="26" t="str">
        <x:v>Install/Default Offset Y</x:v>
      </x:c>
      <x:c r="G52" s="26" t="str">
        <x:v>Center X</x:v>
      </x:c>
      <x:c r="H52" s="26" t="str">
        <x:v>Center Y</x:v>
      </x:c>
      <x:c r="I52" s="26" t="str">
        <x:v>Field Half X</x:v>
      </x:c>
      <x:c r="J52" s="26" t="str">
        <x:v>Field Half Y</x:v>
      </x:c>
      <x:c r="K52" s="26" t="str">
        <x:v>Sx</x:v>
      </x:c>
      <x:c r="L52" s="26" t="str">
        <x:v>Sy</x:v>
      </x:c>
      <x:c r="M52" s="26" t="str">
        <x:v>D_x</x:v>
      </x:c>
      <x:c r="N52" s="26" t="str">
        <x:v>D_y</x:v>
      </x:c>
      <x:c r="O52" s="26" t="inlineStr">
        <is xmlns="http://schemas.openxmlformats.org/spreadsheetml/2006/main">
          <t>In X Field</t>
        </is>
      </x:c>
      <x:c r="P52" s="32"/>
      <x:c r="Q52" s="32"/>
    </x:row>
    <x:row r="53" ht="15" hidden="0" customHeight="1">
      <x:c r="A53" s="34" t="str">
        <x:v>H1</x:v>
      </x:c>
      <x:c r="B53" s="34" t="str">
        <x:v>Odd</x:v>
      </x:c>
      <x:c r="C53" s="34">
        <v xmlns="http://schemas.openxmlformats.org/spreadsheetml/2006/main">10</v>
      </x:c>
      <x:c r="D53" s="34">
        <v xmlns="http://schemas.openxmlformats.org/spreadsheetml/2006/main">1000</v>
      </x:c>
      <x:c r="E53" s="34" t="inlineStr">
        <is xmlns="http://schemas.openxmlformats.org/spreadsheetml/2006/main">
          <t>설치 보정 X</t>
        </is>
      </x:c>
      <x:c r="F53" s="34" t="inlineStr">
        <is xmlns="http://schemas.openxmlformats.org/spreadsheetml/2006/main">
          <t>설치 보정 Y</t>
        </is>
      </x:c>
      <x:c r="G53" s="34">
        <f xmlns="http://schemas.openxmlformats.org/spreadsheetml/2006/main">$B$17+C53+E53</f>
        <v xmlns="http://schemas.openxmlformats.org/spreadsheetml/2006/main">115</v>
      </x:c>
      <x:c r="H53" s="34">
        <f xmlns="http://schemas.openxmlformats.org/spreadsheetml/2006/main">$C$17+D53+F53</f>
        <v xmlns="http://schemas.openxmlformats.org/spreadsheetml/2006/main">2200</v>
      </x:c>
      <x:c r="I53" s="34">
        <v xmlns="http://schemas.openxmlformats.org/spreadsheetml/2006/main">100</v>
      </x:c>
      <x:c r="J53" s="34">
        <v xmlns="http://schemas.openxmlformats.org/spreadsheetml/2006/main">100</v>
      </x:c>
      <x:c r="K53" s="34" t="n">
        <x:v>-1</x:v>
      </x:c>
      <x:c r="L53" s="34" t="n">
        <x:v>1</x:v>
      </x:c>
      <x:c r="M53" s="34">
        <f xmlns="http://schemas.openxmlformats.org/spreadsheetml/2006/main">$B$48-G53</f>
        <v xmlns="http://schemas.openxmlformats.org/spreadsheetml/2006/main">749.81583822676612</v>
      </x:c>
      <x:c r="N53" s="34">
        <f xmlns="http://schemas.openxmlformats.org/spreadsheetml/2006/main">$C$48-H53</f>
        <v xmlns="http://schemas.openxmlformats.org/spreadsheetml/2006/main">-559.23689250799157</v>
      </x:c>
      <x:c r="O53" s="34">
        <f xmlns="http://schemas.openxmlformats.org/spreadsheetml/2006/main">AND(ABS(M53)&lt;=I53)</f>
        <v xmlns="http://schemas.openxmlformats.org/spreadsheetml/2006/main">0</v>
      </x:c>
      <x:c r="P53" s="32"/>
      <x:c r="Q53" s="32"/>
    </x:row>
    <x:row r="54" ht="15" hidden="0" customHeight="1">
      <x:c r="A54" s="34" t="str">
        <x:v>H2</x:v>
      </x:c>
      <x:c r="B54" s="34" t="str">
        <x:v>Even</x:v>
      </x:c>
      <x:c r="C54" s="34">
        <v xmlns="http://schemas.openxmlformats.org/spreadsheetml/2006/main">210</v>
      </x:c>
      <x:c r="D54" s="34">
        <v xmlns="http://schemas.openxmlformats.org/spreadsheetml/2006/main">1060</v>
      </x:c>
      <x:c r="E54" s="34">
        <v xmlns="http://schemas.openxmlformats.org/spreadsheetml/2006/main">0</v>
      </x:c>
      <x:c r="F54" s="34">
        <v xmlns="http://schemas.openxmlformats.org/spreadsheetml/2006/main">0</v>
      </x:c>
      <x:c r="G54" s="34">
        <f xmlns="http://schemas.openxmlformats.org/spreadsheetml/2006/main">$B$17+C54+E54</f>
        <v xmlns="http://schemas.openxmlformats.org/spreadsheetml/2006/main">315</v>
      </x:c>
      <x:c r="H54" s="34">
        <f xmlns="http://schemas.openxmlformats.org/spreadsheetml/2006/main">$C$17+D54+F54</f>
        <v xmlns="http://schemas.openxmlformats.org/spreadsheetml/2006/main">2260</v>
      </x:c>
      <x:c r="I54" s="34">
        <v xmlns="http://schemas.openxmlformats.org/spreadsheetml/2006/main">100</v>
      </x:c>
      <x:c r="J54" s="34">
        <v xmlns="http://schemas.openxmlformats.org/spreadsheetml/2006/main">100</v>
      </x:c>
      <x:c r="K54" s="34" t="n">
        <x:v>1</x:v>
      </x:c>
      <x:c r="L54" s="34" t="n">
        <x:v>-1</x:v>
      </x:c>
      <x:c r="M54" s="34">
        <f xmlns="http://schemas.openxmlformats.org/spreadsheetml/2006/main">$B$48-G54</f>
        <v xmlns="http://schemas.openxmlformats.org/spreadsheetml/2006/main">549.81583822676612</v>
      </x:c>
      <x:c r="N54" s="34">
        <f xmlns="http://schemas.openxmlformats.org/spreadsheetml/2006/main">$C$48-H54</f>
        <v xmlns="http://schemas.openxmlformats.org/spreadsheetml/2006/main">-619.23689250799157</v>
      </x:c>
      <x:c r="O54" s="34">
        <f xmlns="http://schemas.openxmlformats.org/spreadsheetml/2006/main">AND(ABS(M54)&lt;=I54)</f>
        <v xmlns="http://schemas.openxmlformats.org/spreadsheetml/2006/main">0</v>
      </x:c>
      <x:c r="P54" s="32"/>
      <x:c r="Q54" s="32"/>
    </x:row>
    <x:row r="55" ht="15" hidden="0" customHeight="1">
      <x:c r="A55" s="34" t="str">
        <x:v>H3</x:v>
      </x:c>
      <x:c r="B55" s="34" t="str">
        <x:v>Odd</x:v>
      </x:c>
      <x:c r="C55" s="34">
        <v xmlns="http://schemas.openxmlformats.org/spreadsheetml/2006/main">410</v>
      </x:c>
      <x:c r="D55" s="34">
        <v xmlns="http://schemas.openxmlformats.org/spreadsheetml/2006/main">1000</v>
      </x:c>
      <x:c r="E55" s="34">
        <v xmlns="http://schemas.openxmlformats.org/spreadsheetml/2006/main">0</v>
      </x:c>
      <x:c r="F55" s="34">
        <v xmlns="http://schemas.openxmlformats.org/spreadsheetml/2006/main">0</v>
      </x:c>
      <x:c r="G55" s="34">
        <f xmlns="http://schemas.openxmlformats.org/spreadsheetml/2006/main">$B$17+C55+E55</f>
        <v xmlns="http://schemas.openxmlformats.org/spreadsheetml/2006/main">515</v>
      </x:c>
      <x:c r="H55" s="34">
        <f xmlns="http://schemas.openxmlformats.org/spreadsheetml/2006/main">$C$17+D55+F55</f>
        <v xmlns="http://schemas.openxmlformats.org/spreadsheetml/2006/main">2200</v>
      </x:c>
      <x:c r="I55" s="34">
        <v xmlns="http://schemas.openxmlformats.org/spreadsheetml/2006/main">100</v>
      </x:c>
      <x:c r="J55" s="34">
        <v xmlns="http://schemas.openxmlformats.org/spreadsheetml/2006/main">100</v>
      </x:c>
      <x:c r="K55" s="34" t="n">
        <x:v>-1</x:v>
      </x:c>
      <x:c r="L55" s="34" t="n">
        <x:v>1</x:v>
      </x:c>
      <x:c r="M55" s="34">
        <f xmlns="http://schemas.openxmlformats.org/spreadsheetml/2006/main">$B$48-G55</f>
        <v xmlns="http://schemas.openxmlformats.org/spreadsheetml/2006/main">349.81583822676612</v>
      </x:c>
      <x:c r="N55" s="34">
        <f xmlns="http://schemas.openxmlformats.org/spreadsheetml/2006/main">$C$48-H55</f>
        <v xmlns="http://schemas.openxmlformats.org/spreadsheetml/2006/main">-559.23689250799157</v>
      </x:c>
      <x:c r="O55" s="34">
        <f xmlns="http://schemas.openxmlformats.org/spreadsheetml/2006/main">AND(ABS(M55)&lt;=I55)</f>
        <v xmlns="http://schemas.openxmlformats.org/spreadsheetml/2006/main">0</v>
      </x:c>
      <x:c r="P55" s="32"/>
      <x:c r="Q55" s="32"/>
    </x:row>
    <x:row r="56" ht="15" hidden="0" customHeight="1">
      <x:c r="A56" s="34" t="str">
        <x:v>H4</x:v>
      </x:c>
      <x:c r="B56" s="34" t="str">
        <x:v>Even</x:v>
      </x:c>
      <x:c r="C56" s="34">
        <v xmlns="http://schemas.openxmlformats.org/spreadsheetml/2006/main">610</v>
      </x:c>
      <x:c r="D56" s="34">
        <v xmlns="http://schemas.openxmlformats.org/spreadsheetml/2006/main">1060</v>
      </x:c>
      <x:c r="E56" s="34">
        <v xmlns="http://schemas.openxmlformats.org/spreadsheetml/2006/main">0</v>
      </x:c>
      <x:c r="F56" s="34">
        <v xmlns="http://schemas.openxmlformats.org/spreadsheetml/2006/main">0</v>
      </x:c>
      <x:c r="G56" s="34">
        <f xmlns="http://schemas.openxmlformats.org/spreadsheetml/2006/main">$B$17+C56+E56</f>
        <v xmlns="http://schemas.openxmlformats.org/spreadsheetml/2006/main">715</v>
      </x:c>
      <x:c r="H56" s="34">
        <f xmlns="http://schemas.openxmlformats.org/spreadsheetml/2006/main">$C$17+D56+F56</f>
        <v xmlns="http://schemas.openxmlformats.org/spreadsheetml/2006/main">2260</v>
      </x:c>
      <x:c r="I56" s="34">
        <v xmlns="http://schemas.openxmlformats.org/spreadsheetml/2006/main">100</v>
      </x:c>
      <x:c r="J56" s="34">
        <v xmlns="http://schemas.openxmlformats.org/spreadsheetml/2006/main">100</v>
      </x:c>
      <x:c r="K56" s="34" t="n">
        <x:v>1</x:v>
      </x:c>
      <x:c r="L56" s="34" t="n">
        <x:v>-1</x:v>
      </x:c>
      <x:c r="M56" s="34">
        <f xmlns="http://schemas.openxmlformats.org/spreadsheetml/2006/main">$B$48-G56</f>
        <v xmlns="http://schemas.openxmlformats.org/spreadsheetml/2006/main">149.81583822676612</v>
      </x:c>
      <x:c r="N56" s="34">
        <f xmlns="http://schemas.openxmlformats.org/spreadsheetml/2006/main">$C$48-H56</f>
        <v xmlns="http://schemas.openxmlformats.org/spreadsheetml/2006/main">-619.23689250799157</v>
      </x:c>
      <x:c r="O56" s="34">
        <f xmlns="http://schemas.openxmlformats.org/spreadsheetml/2006/main">AND(ABS(M56)&lt;=I56)</f>
        <v xmlns="http://schemas.openxmlformats.org/spreadsheetml/2006/main">0</v>
      </x:c>
      <x:c r="P56" s="32"/>
      <x:c r="Q56" s="32"/>
    </x:row>
    <x:row r="57" ht="15" hidden="0" customHeight="1">
      <x:c r="A57" s="34" t="str">
        <x:v>H5</x:v>
      </x:c>
      <x:c r="B57" s="34" t="str">
        <x:v>Odd</x:v>
      </x:c>
      <x:c r="C57" s="34">
        <v xmlns="http://schemas.openxmlformats.org/spreadsheetml/2006/main">810</v>
      </x:c>
      <x:c r="D57" s="34">
        <v xmlns="http://schemas.openxmlformats.org/spreadsheetml/2006/main">1000</v>
      </x:c>
      <x:c r="E57" s="34">
        <v xmlns="http://schemas.openxmlformats.org/spreadsheetml/2006/main">0</v>
      </x:c>
      <x:c r="F57" s="34">
        <v xmlns="http://schemas.openxmlformats.org/spreadsheetml/2006/main">0</v>
      </x:c>
      <x:c r="G57" s="34">
        <f xmlns="http://schemas.openxmlformats.org/spreadsheetml/2006/main">$B$17+C57+E57</f>
        <v xmlns="http://schemas.openxmlformats.org/spreadsheetml/2006/main">915</v>
      </x:c>
      <x:c r="H57" s="34">
        <f xmlns="http://schemas.openxmlformats.org/spreadsheetml/2006/main">$C$17+D57+F57</f>
        <v xmlns="http://schemas.openxmlformats.org/spreadsheetml/2006/main">2200</v>
      </x:c>
      <x:c r="I57" s="34">
        <v xmlns="http://schemas.openxmlformats.org/spreadsheetml/2006/main">100</v>
      </x:c>
      <x:c r="J57" s="34">
        <v xmlns="http://schemas.openxmlformats.org/spreadsheetml/2006/main">100</v>
      </x:c>
      <x:c r="K57" s="34" t="n">
        <x:v>-1</x:v>
      </x:c>
      <x:c r="L57" s="34" t="n">
        <x:v>1</x:v>
      </x:c>
      <x:c r="M57" s="34">
        <f xmlns="http://schemas.openxmlformats.org/spreadsheetml/2006/main">$B$48-G57</f>
        <v xmlns="http://schemas.openxmlformats.org/spreadsheetml/2006/main">-50.184161773233882</v>
      </x:c>
      <x:c r="N57" s="34">
        <f xmlns="http://schemas.openxmlformats.org/spreadsheetml/2006/main">$C$48-H57</f>
        <v xmlns="http://schemas.openxmlformats.org/spreadsheetml/2006/main">-559.23689250799157</v>
      </x:c>
      <x:c r="O57" s="34">
        <f xmlns="http://schemas.openxmlformats.org/spreadsheetml/2006/main">AND(ABS(M57)&lt;=I57)</f>
        <v xmlns="http://schemas.openxmlformats.org/spreadsheetml/2006/main">1</v>
      </x:c>
      <x:c r="P57" s="32"/>
      <x:c r="Q57" s="32"/>
    </x:row>
    <x:row r="58" ht="15" hidden="0" customHeight="1">
      <x:c r="A58" s="34" t="str">
        <x:v>H6</x:v>
      </x:c>
      <x:c r="B58" s="34" t="str">
        <x:v>Even</x:v>
      </x:c>
      <x:c r="C58" s="34">
        <v xmlns="http://schemas.openxmlformats.org/spreadsheetml/2006/main">1010</v>
      </x:c>
      <x:c r="D58" s="34">
        <v xmlns="http://schemas.openxmlformats.org/spreadsheetml/2006/main">1060</v>
      </x:c>
      <x:c r="E58" s="34">
        <v xmlns="http://schemas.openxmlformats.org/spreadsheetml/2006/main">0</v>
      </x:c>
      <x:c r="F58" s="34">
        <v xmlns="http://schemas.openxmlformats.org/spreadsheetml/2006/main">0</v>
      </x:c>
      <x:c r="G58" s="34">
        <f xmlns="http://schemas.openxmlformats.org/spreadsheetml/2006/main">$B$17+C58+E58</f>
        <v xmlns="http://schemas.openxmlformats.org/spreadsheetml/2006/main">1115</v>
      </x:c>
      <x:c r="H58" s="34">
        <f xmlns="http://schemas.openxmlformats.org/spreadsheetml/2006/main">$C$17+D58+F58</f>
        <v xmlns="http://schemas.openxmlformats.org/spreadsheetml/2006/main">2260</v>
      </x:c>
      <x:c r="I58" s="34">
        <v xmlns="http://schemas.openxmlformats.org/spreadsheetml/2006/main">100</v>
      </x:c>
      <x:c r="J58" s="34">
        <v xmlns="http://schemas.openxmlformats.org/spreadsheetml/2006/main">100</v>
      </x:c>
      <x:c r="K58" s="34" t="n">
        <x:v>1</x:v>
      </x:c>
      <x:c r="L58" s="34" t="n">
        <x:v>-1</x:v>
      </x:c>
      <x:c r="M58" s="34">
        <f xmlns="http://schemas.openxmlformats.org/spreadsheetml/2006/main">$B$48-G58</f>
        <v xmlns="http://schemas.openxmlformats.org/spreadsheetml/2006/main">-250.18416177323388</v>
      </x:c>
      <x:c r="N58" s="34">
        <f xmlns="http://schemas.openxmlformats.org/spreadsheetml/2006/main">$C$48-H58</f>
        <v xmlns="http://schemas.openxmlformats.org/spreadsheetml/2006/main">-619.23689250799157</v>
      </x:c>
      <x:c r="O58" s="34">
        <f xmlns="http://schemas.openxmlformats.org/spreadsheetml/2006/main">AND(ABS(M58)&lt;=I58)</f>
        <v xmlns="http://schemas.openxmlformats.org/spreadsheetml/2006/main">0</v>
      </x:c>
      <x:c r="P58" s="32"/>
      <x:c r="Q58" s="32"/>
    </x:row>
    <x:row r="59" ht="15" hidden="0" customHeight="1">
      <x:c r="A59" s="34" t="str">
        <x:v>H7</x:v>
      </x:c>
      <x:c r="B59" s="34" t="str">
        <x:v>Odd</x:v>
      </x:c>
      <x:c r="C59" s="34">
        <v xmlns="http://schemas.openxmlformats.org/spreadsheetml/2006/main">1210</v>
      </x:c>
      <x:c r="D59" s="34">
        <v xmlns="http://schemas.openxmlformats.org/spreadsheetml/2006/main">1000</v>
      </x:c>
      <x:c r="E59" s="34">
        <v xmlns="http://schemas.openxmlformats.org/spreadsheetml/2006/main">0</v>
      </x:c>
      <x:c r="F59" s="34">
        <v xmlns="http://schemas.openxmlformats.org/spreadsheetml/2006/main">0</v>
      </x:c>
      <x:c r="G59" s="34">
        <f xmlns="http://schemas.openxmlformats.org/spreadsheetml/2006/main">$B$17+C59+E59</f>
        <v xmlns="http://schemas.openxmlformats.org/spreadsheetml/2006/main">1315</v>
      </x:c>
      <x:c r="H59" s="34">
        <f xmlns="http://schemas.openxmlformats.org/spreadsheetml/2006/main">$C$17+D59+F59</f>
        <v xmlns="http://schemas.openxmlformats.org/spreadsheetml/2006/main">2200</v>
      </x:c>
      <x:c r="I59" s="34">
        <v xmlns="http://schemas.openxmlformats.org/spreadsheetml/2006/main">100</v>
      </x:c>
      <x:c r="J59" s="34">
        <v xmlns="http://schemas.openxmlformats.org/spreadsheetml/2006/main">100</v>
      </x:c>
      <x:c r="K59" s="34" t="n">
        <x:v>-1</x:v>
      </x:c>
      <x:c r="L59" s="34" t="n">
        <x:v>1</x:v>
      </x:c>
      <x:c r="M59" s="34">
        <f xmlns="http://schemas.openxmlformats.org/spreadsheetml/2006/main">$B$48-G59</f>
        <v xmlns="http://schemas.openxmlformats.org/spreadsheetml/2006/main">-450.18416177323388</v>
      </x:c>
      <x:c r="N59" s="34">
        <f xmlns="http://schemas.openxmlformats.org/spreadsheetml/2006/main">$C$48-H59</f>
        <v xmlns="http://schemas.openxmlformats.org/spreadsheetml/2006/main">-559.23689250799157</v>
      </x:c>
      <x:c r="O59" s="34">
        <f xmlns="http://schemas.openxmlformats.org/spreadsheetml/2006/main">AND(ABS(M59)&lt;=I59)</f>
        <v xmlns="http://schemas.openxmlformats.org/spreadsheetml/2006/main">0</v>
      </x:c>
      <x:c r="P59" s="32"/>
      <x:c r="Q59" s="32"/>
    </x:row>
    <x:row r="60" ht="15" hidden="0" customHeight="1">
      <x:c r="A60" s="34" t="str">
        <x:v>H8</x:v>
      </x:c>
      <x:c r="B60" s="34" t="str">
        <x:v>Even</x:v>
      </x:c>
      <x:c r="C60" s="34">
        <v xmlns="http://schemas.openxmlformats.org/spreadsheetml/2006/main">1410</v>
      </x:c>
      <x:c r="D60" s="34">
        <v xmlns="http://schemas.openxmlformats.org/spreadsheetml/2006/main">1060</v>
      </x:c>
      <x:c r="E60" s="34">
        <v xmlns="http://schemas.openxmlformats.org/spreadsheetml/2006/main">0</v>
      </x:c>
      <x:c r="F60" s="34">
        <v xmlns="http://schemas.openxmlformats.org/spreadsheetml/2006/main">0</v>
      </x:c>
      <x:c r="G60" s="34">
        <f xmlns="http://schemas.openxmlformats.org/spreadsheetml/2006/main">$B$17+C60+E60</f>
        <v xmlns="http://schemas.openxmlformats.org/spreadsheetml/2006/main">1515</v>
      </x:c>
      <x:c r="H60" s="34">
        <f xmlns="http://schemas.openxmlformats.org/spreadsheetml/2006/main">$C$17+D60+F60</f>
        <v xmlns="http://schemas.openxmlformats.org/spreadsheetml/2006/main">2260</v>
      </x:c>
      <x:c r="I60" s="34">
        <v xmlns="http://schemas.openxmlformats.org/spreadsheetml/2006/main">100</v>
      </x:c>
      <x:c r="J60" s="34">
        <v xmlns="http://schemas.openxmlformats.org/spreadsheetml/2006/main">100</v>
      </x:c>
      <x:c r="K60" s="34" t="n">
        <x:v>1</x:v>
      </x:c>
      <x:c r="L60" s="34" t="n">
        <x:v>-1</x:v>
      </x:c>
      <x:c r="M60" s="34">
        <f xmlns="http://schemas.openxmlformats.org/spreadsheetml/2006/main">$B$48-G60</f>
        <v xmlns="http://schemas.openxmlformats.org/spreadsheetml/2006/main">-650.18416177323388</v>
      </x:c>
      <x:c r="N60" s="34">
        <f xmlns="http://schemas.openxmlformats.org/spreadsheetml/2006/main">$C$48-H60</f>
        <v xmlns="http://schemas.openxmlformats.org/spreadsheetml/2006/main">-619.23689250799157</v>
      </x:c>
      <x:c r="O60" s="34">
        <f xmlns="http://schemas.openxmlformats.org/spreadsheetml/2006/main">AND(ABS(M60)&lt;=I60)</f>
        <v xmlns="http://schemas.openxmlformats.org/spreadsheetml/2006/main">0</v>
      </x:c>
      <x:c r="P60" s="32"/>
      <x:c r="Q60" s="32"/>
    </x:row>
    <x:row r="61" ht="15" hidden="0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</x:row>
    <x:row r="62" ht="15" hidden="0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</x:row>
    <x:row r="63" ht="43.20000076293945" hidden="0" customHeight="1">
      <x:c r="A63" s="16" t="str">
        <x:v>7. Selected Head 기준 Gx/Gy Command 계산 [MMULT]</x:v>
      </x:c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</x:row>
    <x:row r="64" ht="15" hidden="0" customHeight="1">
      <x:c r="A64" s="26" t="str">
        <x:v>항목</x:v>
      </x:c>
      <x:c r="B64" s="26" t="str">
        <x:v>X / 값</x:v>
      </x:c>
      <x:c r="C64" s="26" t="str">
        <x:v>Y / 값</x:v>
      </x:c>
      <x:c r="D64" s="26" t="str">
        <x:v>단위</x:v>
      </x:c>
      <x:c r="E64" s="26"/>
      <x:c r="F64" s="26" t="str">
        <x:v>S Matrix</x:v>
      </x:c>
      <x:c r="G64" s="26" t="str"/>
      <x:c r="H64" s="26"/>
      <x:c r="I64" s="26" t="str">
        <x:v>D Vector</x:v>
      </x:c>
      <x:c r="J64" s="26"/>
      <x:c r="K64" s="26" t="str">
        <x:v>결과</x:v>
      </x:c>
      <x:c r="L64" s="26" t="str">
        <x:v>값</x:v>
      </x:c>
      <x:c r="M64" s="32"/>
      <x:c r="N64" s="32"/>
      <x:c r="O64" s="32"/>
      <x:c r="P64" s="32"/>
      <x:c r="Q64" s="32"/>
    </x:row>
    <x:row r="65" ht="15" hidden="0" customHeight="1">
      <x:c r="A65" s="34" t="inlineStr">
        <is xmlns="http://schemas.openxmlformats.org/spreadsheetml/2006/main">
          <t>Selected Head</t>
        </is>
      </x:c>
      <x:c r="B65" s="34" t="inlineStr">
        <is xmlns="http://schemas.openxmlformats.org/spreadsheetml/2006/main">
          <t>H5</t>
        </is>
      </x:c>
      <x:c r="C65" s="34" t="inlineStr">
        <is xmlns="http://schemas.openxmlformats.org/spreadsheetml/2006/main">
          <t>Odd</t>
        </is>
      </x:c>
      <x:c r="D65" s="34" t="str">
        <x:v>-</x:v>
      </x:c>
      <x:c r="E65" s="34"/>
      <x:c r="F65" s="34" t="n">
        <x:f>K57</x:f>
        <x:v>-1</x:v>
      </x:c>
      <x:c r="G65" s="34" t="n">
        <x:v>0</x:v>
      </x:c>
      <x:c r="H65" s="34"/>
      <x:c r="I65" s="34" t="n">
        <x:f>B68</x:f>
        <x:v>-14.884161773233927</x:v>
      </x:c>
      <x:c r="J65" s="34"/>
      <x:c r="K65" s="34" t="str">
        <x:v>Gx Field</x:v>
      </x:c>
      <x:c r="L65" s="34">
        <f xmlns="http://schemas.openxmlformats.org/spreadsheetml/2006/main">B69</f>
        <v xmlns="http://schemas.openxmlformats.org/spreadsheetml/2006/main">50.184161773233882</v>
      </x:c>
      <x:c r="M65" s="32"/>
      <x:c r="N65" s="32"/>
      <x:c r="O65" s="32"/>
      <x:c r="P65" s="32"/>
      <x:c r="Q65" s="32"/>
    </x:row>
    <x:row r="66" ht="15" hidden="0" customHeight="1">
      <x:c r="A66" s="34" t="str">
        <x:v>Center C_i</x:v>
      </x:c>
      <x:c r="B66" s="34">
        <f xmlns="http://schemas.openxmlformats.org/spreadsheetml/2006/main">G57</f>
        <v xmlns="http://schemas.openxmlformats.org/spreadsheetml/2006/main">915</v>
      </x:c>
      <x:c r="C66" s="34">
        <f xmlns="http://schemas.openxmlformats.org/spreadsheetml/2006/main">H57</f>
        <v xmlns="http://schemas.openxmlformats.org/spreadsheetml/2006/main">2200</v>
      </x:c>
      <x:c r="D66" s="34" t="str">
        <x:v>mm</x:v>
      </x:c>
      <x:c r="E66" s="34"/>
      <x:c r="F66" s="34" t="n">
        <x:v>0</x:v>
      </x:c>
      <x:c r="G66" s="34" t="n">
        <x:f>L57</x:f>
        <x:v>1</x:v>
      </x:c>
      <x:c r="H66" s="34"/>
      <x:c r="I66" s="34" t="n">
        <x:f>C68</x:f>
        <x:v>0.6631074920085211</x:v>
      </x:c>
      <x:c r="J66" s="34"/>
      <x:c r="K66" s="34" t="str">
        <x:v>Gy Field</x:v>
      </x:c>
      <x:c r="L66" s="34">
        <f xmlns="http://schemas.openxmlformats.org/spreadsheetml/2006/main">C69</f>
        <v xmlns="http://schemas.openxmlformats.org/spreadsheetml/2006/main">-559.23689250799157</v>
      </x:c>
      <x:c r="M66" s="32"/>
      <x:c r="N66" s="32"/>
      <x:c r="O66" s="32"/>
      <x:c r="P66" s="32"/>
      <x:c r="Q66" s="32"/>
    </x:row>
    <x:row r="67" ht="15" hidden="0" customHeight="1">
      <x:c r="A67" s="34" t="str">
        <x:v>Target Global</x:v>
      </x:c>
      <x:c r="B67" s="34" t="n">
        <x:f>$B$48</x:f>
        <x:v>864.8158382267661</x:v>
      </x:c>
      <x:c r="C67" s="34" t="n">
        <x:f>$C$48</x:f>
        <x:v>1640.7631074920084</x:v>
      </x:c>
      <x:c r="D67" s="34" t="str">
        <x:v>mm</x:v>
      </x:c>
      <x:c r="E67" s="34"/>
      <x:c r="F67" s="34"/>
      <x:c r="G67" s="34"/>
      <x:c r="H67" s="34"/>
      <x:c r="I67" s="34"/>
      <x:c r="J67" s="34"/>
      <x:c r="K67" s="34" t="str">
        <x:v>Gx Command</x:v>
      </x:c>
      <x:c r="L67" s="34">
        <f xmlns="http://schemas.openxmlformats.org/spreadsheetml/2006/main">B71</f>
        <v xmlns="http://schemas.openxmlformats.org/spreadsheetml/2006/main">50.196161773233882</v>
      </x:c>
      <x:c r="M67" s="32"/>
      <x:c r="N67" s="32"/>
      <x:c r="O67" s="32"/>
      <x:c r="P67" s="32"/>
      <x:c r="Q67" s="32"/>
    </x:row>
    <x:row r="68" ht="15" hidden="0" customHeight="1">
      <x:c r="A68" s="34" t="str">
        <x:v>D = Target - C_i</x:v>
      </x:c>
      <x:c r="B68" s="34">
        <f xmlns="http://schemas.openxmlformats.org/spreadsheetml/2006/main">B67-B66</f>
        <v xmlns="http://schemas.openxmlformats.org/spreadsheetml/2006/main">-50.184161773233882</v>
      </x:c>
      <x:c r="C68" s="34">
        <f xmlns="http://schemas.openxmlformats.org/spreadsheetml/2006/main">C67-C66</f>
        <v xmlns="http://schemas.openxmlformats.org/spreadsheetml/2006/main">-559.23689250799157</v>
      </x:c>
      <x:c r="D68" s="34" t="str">
        <x:v>mm</x:v>
      </x:c>
      <x:c r="E68" s="34"/>
      <x:c r="F68" s="34"/>
      <x:c r="G68" s="34"/>
      <x:c r="H68" s="34"/>
      <x:c r="I68" s="34"/>
      <x:c r="J68" s="34"/>
      <x:c r="K68" s="34" t="str">
        <x:v>Gy Command</x:v>
      </x:c>
      <x:c r="L68" s="34">
        <f xmlns="http://schemas.openxmlformats.org/spreadsheetml/2006/main">C71</f>
        <v xmlns="http://schemas.openxmlformats.org/spreadsheetml/2006/main">-559.24289250799154</v>
      </x:c>
      <x:c r="M68" s="32"/>
      <x:c r="N68" s="32"/>
      <x:c r="O68" s="32"/>
      <x:c r="P68" s="32"/>
      <x:c r="Q68" s="32"/>
    </x:row>
    <x:row r="69" ht="15" hidden="0" customHeight="1">
      <x:c r="A69" s="34" t="str">
        <x:v>Pscanner = S·D</x:v>
      </x:c>
      <x:c r="B69" s="34">
        <f xmlns="http://schemas.openxmlformats.org/spreadsheetml/2006/main">INDEX(MMULT($F$65:$G$66,$I$65:$I$66),1,1)</f>
        <v xmlns="http://schemas.openxmlformats.org/spreadsheetml/2006/main">50.184161773233882</v>
      </x:c>
      <x:c r="C69" s="34">
        <f xmlns="http://schemas.openxmlformats.org/spreadsheetml/2006/main">INDEX(MMULT($F$65:$G$66,$I$65:$I$66),2,1)</f>
        <v xmlns="http://schemas.openxmlformats.org/spreadsheetml/2006/main">-559.23689250799157</v>
      </x:c>
      <x:c r="D69" s="34" t="str">
        <x:v>mm</x:v>
      </x:c>
      <x:c r="E69" s="34"/>
      <x:c r="F69" s="34"/>
      <x:c r="G69" s="34"/>
      <x:c r="H69" s="34"/>
      <x:c r="I69" s="34"/>
      <x:c r="J69" s="34"/>
      <x:c r="K69" s="34" t="str">
        <x:v>비고</x:v>
      </x:c>
      <x:c r="L69" s="34" t="inlineStr">
        <is xmlns="http://schemas.openxmlformats.org/spreadsheetml/2006/main">
          <t>H5 Odd / X Field 내부 / Y는 기판 이송으로 커버</t>
        </is>
      </x:c>
      <x:c r="M69" s="32"/>
      <x:c r="N69" s="32"/>
      <x:c r="O69" s="32"/>
      <x:c r="P69" s="32"/>
      <x:c r="Q69" s="32"/>
    </x:row>
    <x:row r="70" ht="15" hidden="0" customHeight="1">
      <x:c r="A70" s="34" t="str">
        <x:v>Field Correction</x:v>
      </x:c>
      <x:c r="B70" s="34" t="n">
        <x:v>0.012</x:v>
      </x:c>
      <x:c r="C70" s="34" t="n">
        <x:v>-0.006</x:v>
      </x:c>
      <x:c r="D70" s="34" t="str">
        <x:v>mm</x:v>
      </x:c>
      <x:c r="E70" s="34"/>
      <x:c r="F70" s="34"/>
      <x:c r="G70" s="34"/>
      <x:c r="H70" s="34"/>
      <x:c r="I70" s="34"/>
      <x:c r="J70" s="34"/>
      <x:c r="K70" s="34"/>
      <x:c r="L70" s="34"/>
      <x:c r="M70" s="32"/>
      <x:c r="N70" s="32"/>
      <x:c r="O70" s="32"/>
      <x:c r="P70" s="32"/>
      <x:c r="Q70" s="32"/>
    </x:row>
    <x:row r="71" ht="15" hidden="0" customHeight="1">
      <x:c r="A71" s="34" t="str">
        <x:v>Final Command</x:v>
      </x:c>
      <x:c r="B71" s="34">
        <f xmlns="http://schemas.openxmlformats.org/spreadsheetml/2006/main">B69+B70</f>
        <v xmlns="http://schemas.openxmlformats.org/spreadsheetml/2006/main">50.196161773233882</v>
      </x:c>
      <x:c r="C71" s="34">
        <f xmlns="http://schemas.openxmlformats.org/spreadsheetml/2006/main">C69+C70</f>
        <v xmlns="http://schemas.openxmlformats.org/spreadsheetml/2006/main">-559.24289250799154</v>
      </x:c>
      <x:c r="D71" s="34" t="str">
        <x:v>mm</x:v>
      </x:c>
      <x:c r="E71" s="34"/>
      <x:c r="F71" s="34"/>
      <x:c r="G71" s="34"/>
      <x:c r="H71" s="34"/>
      <x:c r="I71" s="34"/>
      <x:c r="J71" s="34"/>
      <x:c r="K71" s="34"/>
      <x:c r="L71" s="34"/>
      <x:c r="M71" s="32"/>
      <x:c r="N71" s="32"/>
      <x:c r="O71" s="32"/>
      <x:c r="P71" s="32"/>
      <x:c r="Q71" s="32"/>
    </x:row>
    <x:row r="72" ht="15" hidden="0" customHeight="1">
      <x:c r="A72" s="34" t="str">
        <x:v>Odd Sign Rule</x:v>
      </x:c>
      <x:c r="B72" s="34" t="str">
        <x:v>+Gx=-Xp</x:v>
      </x:c>
      <x:c r="C72" s="34" t="str">
        <x:v>+Gy=+Yp</x:v>
      </x:c>
      <x:c r="D72" s="34" t="str">
        <x:v>-</x:v>
      </x:c>
      <x:c r="E72" s="34"/>
      <x:c r="F72" s="34"/>
      <x:c r="G72" s="34"/>
      <x:c r="H72" s="34"/>
      <x:c r="I72" s="34"/>
      <x:c r="J72" s="34"/>
      <x:c r="K72" s="34"/>
      <x:c r="L72" s="34"/>
      <x:c r="M72" s="32"/>
      <x:c r="N72" s="32"/>
      <x:c r="O72" s="32"/>
      <x:c r="P72" s="32"/>
      <x:c r="Q72" s="32"/>
    </x:row>
    <x:row r="73" ht="15" hidden="0" customHeight="1">
      <x:c r="A73" s="34" t="str">
        <x:v>Even Sign Rule</x:v>
      </x:c>
      <x:c r="B73" s="34" t="str">
        <x:v>+Gx=+Xp</x:v>
      </x:c>
      <x:c r="C73" s="34" t="str">
        <x:v>+Gy=-Yp</x:v>
      </x:c>
      <x:c r="D73" s="34" t="str">
        <x:v>-</x:v>
      </x:c>
      <x:c r="E73" s="34"/>
      <x:c r="F73" s="34"/>
      <x:c r="G73" s="34"/>
      <x:c r="H73" s="34"/>
      <x:c r="I73" s="34"/>
      <x:c r="J73" s="34"/>
      <x:c r="K73" s="34"/>
      <x:c r="L73" s="34"/>
      <x:c r="M73" s="32"/>
      <x:c r="N73" s="32"/>
      <x:c r="O73" s="32"/>
      <x:c r="P73" s="32"/>
      <x:c r="Q73" s="32"/>
    </x:row>
    <x:row r="74" ht="15" hidden="0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</x:row>
    <x:row r="75" ht="43.20000076293945" hidden="0" customHeight="1">
      <x:c r="A75" s="16" t="str">
        <x:v>8. Review 측정 결과 → Global Error / Process Offset [MMULT]</x:v>
      </x:c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</x:row>
    <x:row r="76" ht="15" hidden="0" customHeight="1">
      <x:c r="A76" s="26" t="str">
        <x:v>입력/계산</x:v>
      </x:c>
      <x:c r="B76" s="26" t="str">
        <x:v>X 또는 U</x:v>
      </x:c>
      <x:c r="C76" s="26" t="str">
        <x:v>Y 또는 V</x:v>
      </x:c>
      <x:c r="D76" s="26" t="str">
        <x:v>단위</x:v>
      </x:c>
      <x:c r="E76" s="26" t="str">
        <x:v>설명</x:v>
      </x:c>
      <x:c r="F76" s="26"/>
      <x:c r="G76" s="26" t="str">
        <x:v>A_review Matrix</x:v>
      </x:c>
      <x:c r="H76" s="26" t="str"/>
      <x:c r="I76" s="26"/>
      <x:c r="J76" s="26" t="str">
        <x:v>Pixel Offset Vector</x:v>
      </x:c>
      <x:c r="K76" s="26"/>
      <x:c r="L76" s="26" t="str">
        <x:v>결과</x:v>
      </x:c>
      <x:c r="M76" s="26" t="str">
        <x:v>값</x:v>
      </x:c>
      <x:c r="N76" s="32"/>
      <x:c r="O76" s="32"/>
      <x:c r="P76" s="32"/>
      <x:c r="Q76" s="32"/>
    </x:row>
    <x:row r="77" ht="15" hidden="0" customHeight="1">
      <x:c r="A77" s="34" t="str">
        <x:v>Target Global</x:v>
      </x:c>
      <x:c r="B77" s="34" t="n">
        <x:f>$B$48</x:f>
        <x:v>864.8158382267661</x:v>
      </x:c>
      <x:c r="C77" s="34" t="n">
        <x:f>$C$48</x:f>
        <x:v>1640.7631074920084</x:v>
      </x:c>
      <x:c r="D77" s="34" t="str">
        <x:v>mm</x:v>
      </x:c>
      <x:c r="E77" s="34" t="str">
        <x:v>가공 목표 Global 좌표</x:v>
      </x:c>
      <x:c r="F77" s="34"/>
      <x:c r="G77" s="34" t="n">
        <x:f>$B$19</x:f>
        <x:v>0.00345</x:v>
      </x:c>
      <x:c r="H77" s="34" t="n">
        <x:v>0</x:v>
      </x:c>
      <x:c r="I77" s="34"/>
      <x:c r="J77" s="34" t="n">
        <x:f>B80</x:f>
        <x:v>5.217391304347757</x:v>
      </x:c>
      <x:c r="K77" s="34"/>
      <x:c r="L77" s="34" t="str">
        <x:v>Error X</x:v>
      </x:c>
      <x:c r="M77" s="34" t="n">
        <x:f>B83</x:f>
        <x:v>0.018000000000029104</x:v>
      </x:c>
      <x:c r="N77" s="32"/>
      <x:c r="O77" s="32"/>
      <x:c r="P77" s="32"/>
      <x:c r="Q77" s="32"/>
    </x:row>
    <x:row r="78" ht="26.399999618530273" hidden="0" customHeight="1">
      <x:c r="A78" s="34" t="str">
        <x:v>Review Center Global at Target</x:v>
      </x:c>
      <x:c r="B78" s="34" t="n">
        <x:f>B77</x:f>
        <x:v>864.8158382267661</x:v>
      </x:c>
      <x:c r="C78" s="34" t="n">
        <x:f>C77</x:f>
        <x:v>1640.7631074920084</x:v>
      </x:c>
      <x:c r="D78" s="34" t="str">
        <x:v>mm</x:v>
      </x:c>
      <x:c r="E78" s="34" t="str">
        <x:v>Review X / Main Y 이동 후 이미지 중심을 Target Global에 맞춘 상태</x:v>
      </x:c>
      <x:c r="F78" s="34"/>
      <x:c r="G78" s="34" t="n">
        <x:v>0</x:v>
      </x:c>
      <x:c r="H78" s="34" t="n">
        <x:f>$C$19</x:f>
        <x:v>0.00345</x:v>
      </x:c>
      <x:c r="I78" s="34"/>
      <x:c r="J78" s="34" t="n">
        <x:f>C80</x:f>
        <x:v>-3.478260869565247</x:v>
      </x:c>
      <x:c r="K78" s="34"/>
      <x:c r="L78" s="34" t="str">
        <x:v>Error Y</x:v>
      </x:c>
      <x:c r="M78" s="34" t="n">
        <x:f>C83</x:f>
        <x:v>-0.011999999999943611</x:v>
      </x:c>
      <x:c r="N78" s="32"/>
      <x:c r="O78" s="32"/>
      <x:c r="P78" s="32"/>
      <x:c r="Q78" s="32"/>
    </x:row>
    <x:row r="79" ht="15" hidden="0" customHeight="1">
      <x:c r="A79" s="34" t="str">
        <x:v>Measured Result Pixel</x:v>
      </x:c>
      <x:c r="B79" s="34" t="n">
        <x:f>$B$18+0.018/$B$19</x:f>
        <x:v>1229.2173913043478</x:v>
      </x:c>
      <x:c r="C79" s="34" t="n">
        <x:f>$C$18-0.012/$C$19</x:f>
        <x:v>1020.5217391304348</x:v>
      </x:c>
      <x:c r="D79" s="34" t="str">
        <x:v>px</x:v>
      </x:c>
      <x:c r="E79" s="34" t="str">
        <x:v>가공 결과 Hole/Mark 검출 Pixel</x:v>
      </x:c>
      <x:c r="F79" s="34"/>
      <x:c r="G79" s="34"/>
      <x:c r="H79" s="34"/>
      <x:c r="I79" s="34"/>
      <x:c r="J79" s="34"/>
      <x:c r="K79" s="34"/>
      <x:c r="L79" s="34" t="str">
        <x:v>Offset X</x:v>
      </x:c>
      <x:c r="M79" s="34" t="n">
        <x:f>B84</x:f>
        <x:v>-0.018000000000029104</x:v>
      </x:c>
      <x:c r="N79" s="32"/>
      <x:c r="O79" s="32"/>
      <x:c r="P79" s="32"/>
      <x:c r="Q79" s="32"/>
    </x:row>
    <x:row r="80" ht="15" hidden="0" customHeight="1">
      <x:c r="A80" s="34" t="str">
        <x:v>Pixel Offset</x:v>
      </x:c>
      <x:c r="B80" s="34" t="n">
        <x:f>B79-$B$18</x:f>
        <x:v>5.217391304347757</x:v>
      </x:c>
      <x:c r="C80" s="34" t="n">
        <x:f>C79-$C$18</x:f>
        <x:v>-3.478260869565247</x:v>
      </x:c>
      <x:c r="D80" s="34" t="str">
        <x:v>px</x:v>
      </x:c>
      <x:c r="E80" s="34" t="str">
        <x:v>Measured Pixel - Image Center</x:v>
      </x:c>
      <x:c r="F80" s="34"/>
      <x:c r="G80" s="34"/>
      <x:c r="H80" s="34"/>
      <x:c r="I80" s="34"/>
      <x:c r="J80" s="34"/>
      <x:c r="K80" s="34"/>
      <x:c r="L80" s="34" t="str">
        <x:v>Offset Y</x:v>
      </x:c>
      <x:c r="M80" s="34" t="n">
        <x:f>C84</x:f>
        <x:v>0.011999999999943611</x:v>
      </x:c>
      <x:c r="N80" s="32"/>
      <x:c r="O80" s="32"/>
      <x:c r="P80" s="32"/>
      <x:c r="Q80" s="32"/>
    </x:row>
    <x:row r="81" ht="26.399999618530273" hidden="0" customHeight="1">
      <x:c r="A81" s="34" t="str">
        <x:v>Pixel→Global Offset</x:v>
      </x:c>
      <x:c r="B81" s="34" t="n">
        <x:f>INDEX(MMULT($G$77:$H$78,$J$77:$J$78),1,1)</x:f>
        <x:v>0.01799999999999976</x:v>
      </x:c>
      <x:c r="C81" s="34" t="n">
        <x:f>INDEX(MMULT($G$77:$H$78,$J$77:$J$78),2,1)</x:f>
        <x:v>-0.012000000000000103</x:v>
      </x:c>
      <x:c r="D81" s="34" t="str">
        <x:v>mm</x:v>
      </x:c>
      <x:c r="E81" s="34" t="str">
        <x:v>MMULT(A_review, Pixel Offset)</x:v>
      </x:c>
      <x:c r="F81" s="34"/>
      <x:c r="G81" s="34"/>
      <x:c r="H81" s="34"/>
      <x:c r="I81" s="34"/>
      <x:c r="J81" s="34"/>
      <x:c r="K81" s="34"/>
      <x:c r="L81" s="34" t="str">
        <x:v>공통 적용</x:v>
      </x:c>
      <x:c r="M81" s="34" t="str">
        <x:v>Head와 무관한 Global Offset</x:v>
      </x:c>
      <x:c r="N81" s="32"/>
      <x:c r="O81" s="32"/>
      <x:c r="P81" s="32"/>
      <x:c r="Q81" s="32"/>
    </x:row>
    <x:row r="82" ht="39.599998474121094" hidden="0" customHeight="1">
      <x:c r="A82" s="34" t="str">
        <x:v>Measured Result Global</x:v>
      </x:c>
      <x:c r="B82" s="34" t="n">
        <x:f>B78+B81</x:f>
        <x:v>864.8338382267661</x:v>
      </x:c>
      <x:c r="C82" s="34" t="n">
        <x:f>C78+C81</x:f>
        <x:v>1640.7511074920085</x:v>
      </x:c>
      <x:c r="D82" s="34" t="str">
        <x:v>mm</x:v>
      </x:c>
      <x:c r="E82" s="34" t="str">
        <x:v>Target Center + Pixel Global Offset</x:v>
      </x:c>
      <x:c r="F82" s="34"/>
      <x:c r="G82" s="34"/>
      <x:c r="H82" s="34"/>
      <x:c r="I82" s="34"/>
      <x:c r="J82" s="34"/>
      <x:c r="K82" s="34"/>
      <x:c r="L82" s="34" t="str">
        <x:v>비고</x:v>
      </x:c>
      <x:c r="M82" s="34" t="str">
        <x:v>Offset_process [mm] = -E_global [mm]</x:v>
      </x:c>
      <x:c r="N82" s="32"/>
      <x:c r="O82" s="32"/>
      <x:c r="P82" s="32"/>
      <x:c r="Q82" s="32"/>
    </x:row>
    <x:row r="83" ht="26.399999618530273" hidden="0" customHeight="1">
      <x:c r="A83" s="34" t="str">
        <x:v>Global Error = Measured - Target</x:v>
      </x:c>
      <x:c r="B83" s="34" t="n">
        <x:f>B82-B77</x:f>
        <x:v>0.018000000000029104</x:v>
      </x:c>
      <x:c r="C83" s="34" t="n">
        <x:f>C82-C77</x:f>
        <x:v>-0.011999999999943611</x:v>
      </x:c>
      <x:c r="D83" s="34" t="str">
        <x:v>mm</x:v>
      </x:c>
      <x:c r="E83" s="34" t="str">
        <x:v>가공 결과 오차</x:v>
      </x:c>
      <x:c r="F83" s="34"/>
      <x:c r="G83" s="34"/>
      <x:c r="H83" s="34"/>
      <x:c r="I83" s="34"/>
      <x:c r="J83" s="34"/>
      <x:c r="K83" s="34"/>
      <x:c r="L83" s="34"/>
      <x:c r="M83" s="34"/>
      <x:c r="N83" s="32"/>
      <x:c r="O83" s="32"/>
      <x:c r="P83" s="32"/>
      <x:c r="Q83" s="32"/>
    </x:row>
    <x:row r="84" ht="15" hidden="0" customHeight="1">
      <x:c r="A84" s="34" t="str">
        <x:v>Process Offset = -Error</x:v>
      </x:c>
      <x:c r="B84" s="34" t="n">
        <x:f>-B83</x:f>
        <x:v>-0.018000000000029104</x:v>
      </x:c>
      <x:c r="C84" s="34" t="n">
        <x:f>-C83</x:f>
        <x:v>0.011999999999943611</x:v>
      </x:c>
      <x:c r="D84" s="34" t="str">
        <x:v>mm</x:v>
      </x:c>
      <x:c r="E84" s="34" t="str">
        <x:v>다음 가공에 적용할 Global Offset</x:v>
      </x:c>
      <x:c r="F84" s="34"/>
      <x:c r="G84" s="34"/>
      <x:c r="H84" s="34"/>
      <x:c r="I84" s="34"/>
      <x:c r="J84" s="34"/>
      <x:c r="K84" s="34"/>
      <x:c r="L84" s="34"/>
      <x:c r="M84" s="34"/>
      <x:c r="N84" s="32"/>
      <x:c r="O84" s="32"/>
      <x:c r="P84" s="32"/>
      <x:c r="Q84" s="32"/>
    </x:row>
    <x:row r="85" ht="15" hidden="0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</x:row>
    <x:row r="86" ht="15" hidden="0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</x:row>
    <x:row r="87" ht="28.799999237060547" hidden="0" customHeight="1">
      <x:c r="A87" s="16" t="str">
        <x:v>9. 최종 요약 / 검토 결론</x:v>
      </x:c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</x:row>
    <x:row r="88" ht="15" hidden="0" customHeight="1">
      <x:c r="A88" s="26" t="str">
        <x:v>결론 항목</x:v>
      </x:c>
      <x:c r="B88" s="26" t="str">
        <x:v>값</x:v>
      </x:c>
      <x:c r="C88" s="26" t="str">
        <x:v>단위</x:v>
      </x:c>
      <x:c r="D88" s="26" t="str">
        <x:v>비고</x:v>
      </x:c>
      <x:c r="E88" s="26" t="str">
        <x:v>검증</x:v>
      </x:c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</x:row>
    <x:row r="89" ht="105.5999984741211" hidden="0" customHeight="1">
      <x:c r="A89" s="34" t="str">
        <x:v>컨셉 적합성</x:v>
      </x:c>
      <x:c r="B89" s="34" t="str">
        <x:v>적합(조건부)</x:v>
      </x:c>
      <x:c r="C89" s="34" t="str">
        <x:v>-</x:v>
      </x:c>
      <x:c r="D89" s="34" t="str">
        <x:v>Review Camera로 Master AK1 Global Anchor를 만드는 방식은 유효함</x:v>
      </x:c>
      <x:c r="E89" s="34" t="str">
        <x:v>좌표계 통일 필요</x:v>
      </x:c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</x:row>
    <x:row r="90" ht="52.79999923706055" hidden="0" customHeight="1">
      <x:c r="A90" s="34" t="str">
        <x:v>주행방향</x:v>
      </x:c>
      <x:c r="B90" s="34" t="str">
        <x:v>Front→Rear / +Yg</x:v>
      </x:c>
      <x:c r="C90" s="34" t="str">
        <x:v>mm</x:v>
      </x:c>
      <x:c r="D90" s="34" t="str">
        <x:v>기판 단변 925 mm 방향이 Main Y 주행방향</x:v>
      </x:c>
      <x:c r="E90" s="34" t="str">
        <x:v>반영</x:v>
      </x:c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</x:row>
    <x:row r="91" ht="52.79999923706055" hidden="0" customHeight="1">
      <x:c r="A91" s="34" t="str">
        <x:v>AK 배치</x:v>
      </x:c>
      <x:c r="B91" s="34" t="str">
        <x:v>Cam#1 MF, Cam#2 MR, Cam#3 SF, Cam#4 SR</x:v>
      </x:c>
      <x:c r="C91" s="34" t="str">
        <x:v>mm</x:v>
      </x:c>
      <x:c r="D91" s="34" t="str">
        <x:v>4꼭지점 근처 AK 기준 / AK1이 Recipe Local 원점</x:v>
      </x:c>
      <x:c r="E91" s="34" t="str">
        <x:v>반영</x:v>
      </x:c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</x:row>
    <x:row r="92" ht="66" hidden="0" customHeight="1">
      <x:c r="A92" s="34" t="str">
        <x:v>최종 Global 식</x:v>
      </x:c>
      <x:c r="B92" s="34" t="str">
        <x:v>Pglobal = P_AK1_global + R(θ_align)·Plocal</x:v>
      </x:c>
      <x:c r="C92" s="34" t="str">
        <x:v>mm</x:v>
      </x:c>
      <x:c r="D92" s="34" t="str">
        <x:v>Review 실측 AK1 Translation Anchor + Vision θ</x:v>
      </x:c>
      <x:c r="E92" s="34" t="str">
        <x:v>MMULT 사용</x:v>
      </x:c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</x:row>
    <x:row r="93" ht="52.79999923706055" hidden="0" customHeight="1">
      <x:c r="A93" s="34" t="str">
        <x:v>최종 Scanner 식</x:v>
      </x:c>
      <x:c r="B93" s="34" t="str">
        <x:v>Pscanner = S_i·(Pglobal-C_i)</x:v>
      </x:c>
      <x:c r="C93" s="34" t="str">
        <x:v>mm</x:v>
      </x:c>
      <x:c r="D93" s="34" t="str">
        <x:v>Head별 Virtual Center와 Odd/Even Sign Matrix 사용</x:v>
      </x:c>
      <x:c r="E93" s="34" t="str">
        <x:v>MMULT 사용</x:v>
      </x:c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</x:row>
    <x:row r="94" ht="66" hidden="0" customHeight="1">
      <x:c r="A94" s="34" t="str">
        <x:v>Review 보정</x:v>
      </x:c>
      <x:c r="B94" s="34" t="str">
        <x:v>Offset_process = -E_global</x:v>
      </x:c>
      <x:c r="C94" s="34" t="str">
        <x:v>mm</x:v>
      </x:c>
      <x:c r="D94" s="34" t="str">
        <x:v>Review 결과를 Global Error로 환산해 다음 가공에 공통 Offset 적용</x:v>
      </x:c>
      <x:c r="E94" s="34" t="str">
        <x:v>MMULT 사용</x:v>
      </x:c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</x:row>
    <x:row r="95" ht="39.599998474121094" hidden="0" customHeight="1">
      <x:c r="A95" s="34" t="str">
        <x:v>선택 Head</x:v>
      </x:c>
      <x:c r="B95" s="34" t="str">
        <x:f>A57</x:f>
        <x:v>H5</x:v>
      </x:c>
      <x:c r="C95" s="34" t="str">
        <x:v>-</x:v>
      </x:c>
      <x:c r="D95" s="34" t="str">
        <x:v>예시 대상 가공점은 H5 Odd Field 내부</x:v>
      </x:c>
      <x:c r="E95" s="34" t="str">
        <x:v>확인 필요</x:v>
      </x:c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</x:row>
    <x:row r="96" ht="26.399999618530273" hidden="0" customHeight="1">
      <x:c r="A96" s="34" t="str">
        <x:v>Final Gx Command</x:v>
      </x:c>
      <x:c r="B96" s="34">
        <f xmlns="http://schemas.openxmlformats.org/spreadsheetml/2006/main">B71</f>
        <v xmlns="http://schemas.openxmlformats.org/spreadsheetml/2006/main">50.196161773233882</v>
      </x:c>
      <x:c r="C96" s="34" t="str">
        <x:v>mm</x:v>
      </x:c>
      <x:c r="D96" s="34" t="str">
        <x:v>최종 Gx Command</x:v>
      </x:c>
      <x:c r="E96" s="34" t="str">
        <x:v>계산</x:v>
      </x:c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</x:row>
    <x:row r="97" ht="26.399999618530273" hidden="0" customHeight="1">
      <x:c r="A97" s="34" t="str">
        <x:v>Final Gy Command</x:v>
      </x:c>
      <x:c r="B97" s="34">
        <f xmlns="http://schemas.openxmlformats.org/spreadsheetml/2006/main">C71</f>
        <v xmlns="http://schemas.openxmlformats.org/spreadsheetml/2006/main">-559.24289250799154</v>
      </x:c>
      <x:c r="C97" s="34" t="str">
        <x:v>mm</x:v>
      </x:c>
      <x:c r="D97" s="34" t="str">
        <x:v>최종 Gy Command</x:v>
      </x:c>
      <x:c r="E97" s="34" t="str">
        <x:v>계산</x:v>
      </x:c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</x:row>
    <x:row r="98" ht="26.399999618530273" hidden="0" customHeight="1">
      <x:c r="A98" s="34" t="str">
        <x:v>Process Offset X</x:v>
      </x:c>
      <x:c r="B98" s="34" t="n">
        <x:f>B84</x:f>
        <x:v>-0.018000000000029104</x:v>
      </x:c>
      <x:c r="C98" s="34" t="str">
        <x:v>mm</x:v>
      </x:c>
      <x:c r="D98" s="34" t="str">
        <x:v>다음 가공 Global Offset X</x:v>
      </x:c>
      <x:c r="E98" s="34" t="str">
        <x:v>계산</x:v>
      </x:c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</x:row>
    <x:row r="99" ht="26.399999618530273" hidden="0" customHeight="1">
      <x:c r="A99" s="34" t="str">
        <x:v>Process Offset Y</x:v>
      </x:c>
      <x:c r="B99" s="34" t="n">
        <x:f>C84</x:f>
        <x:v>0.011999999999943611</x:v>
      </x:c>
      <x:c r="C99" s="34" t="str">
        <x:v>mm</x:v>
      </x:c>
      <x:c r="D99" s="34" t="str">
        <x:v>다음 가공 Global Offset Y</x:v>
      </x:c>
      <x:c r="E99" s="34" t="str">
        <x:v>계산</x:v>
      </x:c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</x:row>
    <x:row r="100" ht="15" hidden="0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</x:row>
    <x:row r="101" ht="15" hidden="0" customHeight="1">
      <x:c r="A101" s="16" t="inlineStr">
        <is xmlns="http://schemas.openxmlformats.org/spreadsheetml/2006/main">
          <t>10. H1 초기위치 / Review Camera ↔ Scanner 물리 Offset / H2 DOE05 좌표 검증</t>
        </is>
      </x:c>
      <x:c r="B101" s="16"/>
      <x:c r="C101" s="16"/>
      <x:c r="D101" s="16"/>
      <x:c r="E101" s="16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</x:row>
    <x:row r="102" ht="15" hidden="0" customHeight="1">
      <x:c r="A102" s="26" t="inlineStr">
        <is xmlns="http://schemas.openxmlformats.org/spreadsheetml/2006/main">
          <t>항목</t>
        </is>
      </x:c>
      <x:c r="B102" s="26" t="inlineStr">
        <is xmlns="http://schemas.openxmlformats.org/spreadsheetml/2006/main">
          <t>X</t>
        </is>
      </x:c>
      <x:c r="C102" s="26" t="inlineStr">
        <is xmlns="http://schemas.openxmlformats.org/spreadsheetml/2006/main">
          <t>Y</t>
        </is>
      </x:c>
      <x:c r="D102" s="26" t="inlineStr">
        <is xmlns="http://schemas.openxmlformats.org/spreadsheetml/2006/main">
          <t>단위</t>
        </is>
      </x:c>
      <x:c r="E102" s="26" t="inlineStr">
        <is xmlns="http://schemas.openxmlformats.org/spreadsheetml/2006/main">
          <t>설명</t>
        </is>
      </x:c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</x:row>
    <x:row r="103" ht="15" hidden="0" customHeight="1">
      <x:c r="A103" s="34" t="inlineStr">
        <is xmlns="http://schemas.openxmlformats.org/spreadsheetml/2006/main">
          <t>Review Camera Center</t>
        </is>
      </x:c>
      <x:c r="B103" s="34">
        <v xmlns="http://schemas.openxmlformats.org/spreadsheetml/2006/main">105</v>
      </x:c>
      <x:c r="C103" s="34">
        <v xmlns="http://schemas.openxmlformats.org/spreadsheetml/2006/main">1200</v>
      </x:c>
      <x:c r="D103" s="34" t="inlineStr">
        <is xmlns="http://schemas.openxmlformats.org/spreadsheetml/2006/main">
          <t>mm</t>
        </is>
      </x:c>
      <x:c r="E103" s="34" t="inlineStr">
        <is xmlns="http://schemas.openxmlformats.org/spreadsheetml/2006/main">
          <t>Review 이미지 중심의 Machine Global 좌표</t>
        </is>
      </x:c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</x:row>
    <x:row r="104" ht="15" hidden="0" customHeight="1">
      <x:c r="A104" s="34" t="inlineStr">
        <is xmlns="http://schemas.openxmlformats.org/spreadsheetml/2006/main">
          <t>Camera→H1 Physical Offset</t>
        </is>
      </x:c>
      <x:c r="B104" s="34">
        <v xmlns="http://schemas.openxmlformats.org/spreadsheetml/2006/main">10</v>
      </x:c>
      <x:c r="C104" s="34">
        <v xmlns="http://schemas.openxmlformats.org/spreadsheetml/2006/main">1000</v>
      </x:c>
      <x:c r="D104" s="34" t="inlineStr">
        <is xmlns="http://schemas.openxmlformats.org/spreadsheetml/2006/main">
          <t>mm</t>
        </is>
      </x:c>
      <x:c r="E104" s="34" t="inlineStr">
        <is xmlns="http://schemas.openxmlformats.org/spreadsheetml/2006/main">
          <t>설계/Teaching으로 관리하는 고정 Geometry</t>
        </is>
      </x:c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</x:row>
    <x:row r="105" ht="15" hidden="0" customHeight="1">
      <x:c r="A105" s="34" t="inlineStr">
        <is xmlns="http://schemas.openxmlformats.org/spreadsheetml/2006/main">
          <t>H1 Initial Stage</t>
        </is>
      </x:c>
      <x:c r="B105" s="34">
        <v xmlns="http://schemas.openxmlformats.org/spreadsheetml/2006/main">115</v>
      </x:c>
      <x:c r="C105" s="34">
        <v xmlns="http://schemas.openxmlformats.org/spreadsheetml/2006/main">2200</v>
      </x:c>
      <x:c r="D105" s="34" t="inlineStr">
        <is xmlns="http://schemas.openxmlformats.org/spreadsheetml/2006/main">
          <t>mm</t>
        </is>
      </x:c>
      <x:c r="E105" s="34" t="inlineStr">
        <is xmlns="http://schemas.openxmlformats.org/spreadsheetml/2006/main">
          <t>Scanner 배치의 명시적 시작 중심</t>
        </is>
      </x:c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</x:row>
    <x:row r="106" ht="15" hidden="0" customHeight="1">
      <x:c r="A106" s="34" t="inlineStr">
        <is xmlns="http://schemas.openxmlformats.org/spreadsheetml/2006/main">
          <t>Expected H1</t>
        </is>
      </x:c>
      <x:c r="B106" s="34">
        <f xmlns="http://schemas.openxmlformats.org/spreadsheetml/2006/main">B103+B104</f>
        <v xmlns="http://schemas.openxmlformats.org/spreadsheetml/2006/main">115</v>
      </x:c>
      <x:c r="C106" s="34">
        <f xmlns="http://schemas.openxmlformats.org/spreadsheetml/2006/main">C103+C104</f>
        <v xmlns="http://schemas.openxmlformats.org/spreadsheetml/2006/main">2200</v>
      </x:c>
      <x:c r="D106" s="34" t="inlineStr">
        <is xmlns="http://schemas.openxmlformats.org/spreadsheetml/2006/main">
          <t>mm</t>
        </is>
      </x:c>
      <x:c r="E106" s="34" t="inlineStr">
        <is xmlns="http://schemas.openxmlformats.org/spreadsheetml/2006/main">
          <t>ReviewCenter + Camera→H1 Physical Offset</t>
        </is>
      </x:c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</x:row>
    <x:row r="107" ht="15" hidden="0" customHeight="1">
      <x:c r="A107" s="34" t="inlineStr">
        <is xmlns="http://schemas.openxmlformats.org/spreadsheetml/2006/main">
          <t>Origin Error</t>
        </is>
      </x:c>
      <x:c r="B107" s="34">
        <f xmlns="http://schemas.openxmlformats.org/spreadsheetml/2006/main">B105-B106</f>
        <v xmlns="http://schemas.openxmlformats.org/spreadsheetml/2006/main">0</v>
      </x:c>
      <x:c r="C107" s="34">
        <f xmlns="http://schemas.openxmlformats.org/spreadsheetml/2006/main">C105-C106</f>
        <v xmlns="http://schemas.openxmlformats.org/spreadsheetml/2006/main">0</v>
      </x:c>
      <x:c r="D107" s="34" t="inlineStr">
        <is xmlns="http://schemas.openxmlformats.org/spreadsheetml/2006/main">
          <t>mm</t>
        </is>
      </x:c>
      <x:c r="E107" s="34" t="inlineStr">
        <is xmlns="http://schemas.openxmlformats.org/spreadsheetml/2006/main">
          <t>H1 Initial - Expected H1</t>
        </is>
      </x:c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</x:row>
    <x:row r="108" ht="15" hidden="0" customHeight="1">
      <x:c r="A108" s="34" t="inlineStr">
        <is xmlns="http://schemas.openxmlformats.org/spreadsheetml/2006/main">
          <t>Origin Tolerance</t>
        </is>
      </x:c>
      <x:c r="B108" s="34">
        <v xmlns="http://schemas.openxmlformats.org/spreadsheetml/2006/main">0.001</v>
      </x:c>
      <x:c r="C108" s="34">
        <v xmlns="http://schemas.openxmlformats.org/spreadsheetml/2006/main">0.001</v>
      </x:c>
      <x:c r="D108" s="34" t="inlineStr">
        <is xmlns="http://schemas.openxmlformats.org/spreadsheetml/2006/main">
          <t>mm</t>
        </is>
      </x:c>
      <x:c r="E108" s="34" t="inlineStr">
        <is xmlns="http://schemas.openxmlformats.org/spreadsheetml/2006/main">
          <t>H1 Initial과 기대값 허용오차</t>
        </is>
      </x:c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</x:row>
    <x:row r="109" ht="15" hidden="0" customHeight="1">
      <x:c r="A109" s="34" t="inlineStr">
        <is xmlns="http://schemas.openxmlformats.org/spreadsheetml/2006/main">
          <t>Origin Valid</t>
        </is>
      </x:c>
      <x:c r="B109" s="34">
        <f xmlns="http://schemas.openxmlformats.org/spreadsheetml/2006/main">AND(ABS(B107)&lt;=B108,ABS(C107)&lt;=C108)</f>
        <v xmlns="http://schemas.openxmlformats.org/spreadsheetml/2006/main">1</v>
      </x:c>
      <x:c r="C109" s="34" t="inlineStr">
        <is xmlns="http://schemas.openxmlformats.org/spreadsheetml/2006/main">
          <t>TRUE</t>
        </is>
      </x:c>
      <x:c r="D109" s="34" t="inlineStr">
        <is xmlns="http://schemas.openxmlformats.org/spreadsheetml/2006/main">
          <t>-</t>
        </is>
      </x:c>
      <x:c r="E109" s="34" t="inlineStr">
        <is xmlns="http://schemas.openxmlformats.org/spreadsheetml/2006/main">
          <t>불일치 시 실제 장비에서는 Plan 생성을 차단해야 함</t>
        </is>
      </x:c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</x:row>
    <x:row r="110" ht="15" hidden="0" customHeight="1">
      <x:c r="A110" s="34" t="inlineStr">
        <is xmlns="http://schemas.openxmlformats.org/spreadsheetml/2006/main">
          <t>Scanner Pitch X / Even Y Offset</t>
        </is>
      </x:c>
      <x:c r="B110" s="34">
        <v xmlns="http://schemas.openxmlformats.org/spreadsheetml/2006/main">200</v>
      </x:c>
      <x:c r="C110" s="34">
        <v xmlns="http://schemas.openxmlformats.org/spreadsheetml/2006/main">60</v>
      </x:c>
      <x:c r="D110" s="34" t="inlineStr">
        <is xmlns="http://schemas.openxmlformats.org/spreadsheetml/2006/main">
          <t>mm</t>
        </is>
      </x:c>
      <x:c r="E110" s="34" t="inlineStr">
        <is xmlns="http://schemas.openxmlformats.org/spreadsheetml/2006/main">
          <t>H2는 H1에서 X +200, Y +60</t>
        </is>
      </x:c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</x:row>
    <x:row r="111" ht="15" hidden="0" customHeight="1">
      <x:c r="A111" s="34" t="inlineStr">
        <is xmlns="http://schemas.openxmlformats.org/spreadsheetml/2006/main">
          <t>H2 Initial Center</t>
        </is>
      </x:c>
      <x:c r="B111" s="34">
        <f xmlns="http://schemas.openxmlformats.org/spreadsheetml/2006/main">B105+B110</f>
        <v xmlns="http://schemas.openxmlformats.org/spreadsheetml/2006/main">315</v>
      </x:c>
      <x:c r="C111" s="34">
        <f xmlns="http://schemas.openxmlformats.org/spreadsheetml/2006/main">C105+C110</f>
        <v xmlns="http://schemas.openxmlformats.org/spreadsheetml/2006/main">2260</v>
      </x:c>
      <x:c r="D111" s="34" t="inlineStr">
        <is xmlns="http://schemas.openxmlformats.org/spreadsheetml/2006/main">
          <t>mm</t>
        </is>
      </x:c>
      <x:c r="E111" s="34" t="inlineStr">
        <is xmlns="http://schemas.openxmlformats.org/spreadsheetml/2006/main">
          <t>H1 + ScannerPitchX + EvenScannerYOffset</t>
        </is>
      </x:c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</x:row>
    <x:row r="112" ht="15" hidden="0" customHeight="1">
      <x:c r="A112" s="34" t="inlineStr">
        <is xmlns="http://schemas.openxmlformats.org/spreadsheetml/2006/main">
          <t>Camera→H2 Physical Offset</t>
        </is>
      </x:c>
      <x:c r="B112" s="34">
        <f xmlns="http://schemas.openxmlformats.org/spreadsheetml/2006/main">B111-B103</f>
        <v xmlns="http://schemas.openxmlformats.org/spreadsheetml/2006/main">210</v>
      </x:c>
      <x:c r="C112" s="34">
        <f xmlns="http://schemas.openxmlformats.org/spreadsheetml/2006/main">C111-C103</f>
        <v xmlns="http://schemas.openxmlformats.org/spreadsheetml/2006/main">1060</v>
      </x:c>
      <x:c r="D112" s="34" t="inlineStr">
        <is xmlns="http://schemas.openxmlformats.org/spreadsheetml/2006/main">
          <t>mm</t>
        </is>
      </x:c>
      <x:c r="E112" s="34" t="inlineStr">
        <is xmlns="http://schemas.openxmlformats.org/spreadsheetml/2006/main">
          <t>H2 Center - Review Camera Center</t>
        </is>
      </x:c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</x:row>
    <x:row r="113" ht="15" hidden="0" customHeight="1">
      <x:c r="A113" s="34" t="inlineStr">
        <is xmlns="http://schemas.openxmlformats.org/spreadsheetml/2006/main">
          <t>DOE05 Scanner Offset</t>
        </is>
      </x:c>
      <x:c r="B113" s="34">
        <v xmlns="http://schemas.openxmlformats.org/spreadsheetml/2006/main">-0.27</v>
      </x:c>
      <x:c r="C113" s="34">
        <v xmlns="http://schemas.openxmlformats.org/spreadsheetml/2006/main">-0.09</v>
      </x:c>
      <x:c r="D113" s="34" t="inlineStr">
        <is xmlns="http://schemas.openxmlformats.org/spreadsheetml/2006/main">
          <t>mm</t>
        </is>
      </x:c>
      <x:c r="E113" s="34" t="inlineStr">
        <is xmlns="http://schemas.openxmlformats.org/spreadsheetml/2006/main">
          <t>4×4 DOE 내부 Scanner 축 Offset</t>
        </is>
      </x:c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</x:row>
    <x:row r="114" ht="15" hidden="0" customHeight="1">
      <x:c r="A114" s="34" t="inlineStr">
        <is xmlns="http://schemas.openxmlformats.org/spreadsheetml/2006/main">
          <t>DOE05 Stage Offset</t>
        </is>
      </x:c>
      <x:c r="B114" s="34">
        <v xmlns="http://schemas.openxmlformats.org/spreadsheetml/2006/main">-0.27</v>
      </x:c>
      <x:c r="C114" s="34">
        <v xmlns="http://schemas.openxmlformats.org/spreadsheetml/2006/main">0.09</v>
      </x:c>
      <x:c r="D114" s="34" t="inlineStr">
        <is xmlns="http://schemas.openxmlformats.org/spreadsheetml/2006/main">
          <t>mm</t>
        </is>
      </x:c>
      <x:c r="E114" s="34" t="inlineStr">
        <is xmlns="http://schemas.openxmlformats.org/spreadsheetml/2006/main">
          <t>H2 Even 축 변환 후 실제 Stage Offset</t>
        </is>
      </x:c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</x:row>
    <x:row r="115" ht="15" hidden="0" customHeight="1">
      <x:c r="A115" s="34" t="inlineStr">
        <is xmlns="http://schemas.openxmlformats.org/spreadsheetml/2006/main">
          <t>B1 좌표 검증</t>
        </is>
      </x:c>
      <x:c r="B115" s="34" t="inlineStr">
        <is xmlns="http://schemas.openxmlformats.org/spreadsheetml/2006/main">
          <t>X</t>
        </is>
      </x:c>
      <x:c r="C115" s="34" t="inlineStr">
        <is xmlns="http://schemas.openxmlformats.org/spreadsheetml/2006/main">
          <t>Y</t>
        </is>
      </x:c>
      <x:c r="D115" s="34" t="inlineStr">
        <is xmlns="http://schemas.openxmlformats.org/spreadsheetml/2006/main">
          <t>mm</t>
        </is>
      </x:c>
      <x:c r="E115" s="34" t="inlineStr">
        <is xmlns="http://schemas.openxmlformats.org/spreadsheetml/2006/main">
          <t>첨부 화면의 Process/Review 값 비교</t>
        </is>
      </x:c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</x:row>
    <x:row r="116" ht="15" hidden="0" customHeight="1">
      <x:c r="A116" s="34" t="inlineStr">
        <is xmlns="http://schemas.openxmlformats.org/spreadsheetml/2006/main">
          <t>B1 Process Gx/Gy</t>
        </is>
      </x:c>
      <x:c r="B116" s="34">
        <v xmlns="http://schemas.openxmlformats.org/spreadsheetml/2006/main">-99.83</v>
      </x:c>
      <x:c r="C116" s="34">
        <v xmlns="http://schemas.openxmlformats.org/spreadsheetml/2006/main">1024.804</v>
      </x:c>
      <x:c r="D116" s="34" t="inlineStr">
        <is xmlns="http://schemas.openxmlformats.org/spreadsheetml/2006/main">
          <t>mm</t>
        </is>
      </x:c>
      <x:c r="E116" s="34" t="inlineStr">
        <is xmlns="http://schemas.openxmlformats.org/spreadsheetml/2006/main">
          <t>H2 Even Scanner Field 명령 좌표</t>
        </is>
      </x:c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</x:row>
    <x:row r="117" ht="15" hidden="0" customHeight="1">
      <x:c r="A117" s="34" t="inlineStr">
        <is xmlns="http://schemas.openxmlformats.org/spreadsheetml/2006/main">
          <t>H2 ScannerRelative Stage</t>
        </is>
      </x:c>
      <x:c r="B117" s="34">
        <f xmlns="http://schemas.openxmlformats.org/spreadsheetml/2006/main">B116</f>
        <v xmlns="http://schemas.openxmlformats.org/spreadsheetml/2006/main">-99.83</v>
      </x:c>
      <x:c r="C117" s="34">
        <f xmlns="http://schemas.openxmlformats.org/spreadsheetml/2006/main">-C116</f>
        <v xmlns="http://schemas.openxmlformats.org/spreadsheetml/2006/main">-1024.804</v>
      </x:c>
      <x:c r="D117" s="34" t="inlineStr">
        <is xmlns="http://schemas.openxmlformats.org/spreadsheetml/2006/main">
          <t>mm</t>
        </is>
      </x:c>
      <x:c r="E117" s="34" t="inlineStr">
        <is xmlns="http://schemas.openxmlformats.org/spreadsheetml/2006/main">
          <t>H2 Even: Dx=Gx, Dy=-Gy</t>
        </is>
      </x:c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</x:row>
    <x:row r="118" ht="15" hidden="0" customHeight="1">
      <x:c r="A118" s="34" t="inlineStr">
        <is xmlns="http://schemas.openxmlformats.org/spreadsheetml/2006/main">
          <t>B1 Process Stage</t>
        </is>
      </x:c>
      <x:c r="B118" s="34">
        <f xmlns="http://schemas.openxmlformats.org/spreadsheetml/2006/main">B117+B111</f>
        <v xmlns="http://schemas.openxmlformats.org/spreadsheetml/2006/main">215.17</v>
      </x:c>
      <x:c r="C118" s="34">
        <f xmlns="http://schemas.openxmlformats.org/spreadsheetml/2006/main">C117+C111</f>
        <v xmlns="http://schemas.openxmlformats.org/spreadsheetml/2006/main">1235.196</v>
      </x:c>
      <x:c r="D118" s="34" t="inlineStr">
        <is xmlns="http://schemas.openxmlformats.org/spreadsheetml/2006/main">
          <t>mm</t>
        </is>
      </x:c>
      <x:c r="E118" s="34" t="inlineStr">
        <is xmlns="http://schemas.openxmlformats.org/spreadsheetml/2006/main">
          <t>ScannerRelative + H2 Center</t>
        </is>
      </x:c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</x:row>
    <x:row r="119" ht="15" hidden="0" customHeight="1">
      <x:c r="A119" s="34" t="inlineStr">
        <is xmlns="http://schemas.openxmlformats.org/spreadsheetml/2006/main">
          <t>B1 Review Camera / DOE05</t>
        </is>
      </x:c>
      <x:c r="B119" s="34">
        <f xmlns="http://schemas.openxmlformats.org/spreadsheetml/2006/main">B117+B112+B114</f>
        <v xmlns="http://schemas.openxmlformats.org/spreadsheetml/2006/main">109.9</v>
      </x:c>
      <x:c r="C119" s="34">
        <f xmlns="http://schemas.openxmlformats.org/spreadsheetml/2006/main">C117+C112+C114</f>
        <v xmlns="http://schemas.openxmlformats.org/spreadsheetml/2006/main">35.286</v>
      </x:c>
      <x:c r="D119" s="34" t="inlineStr">
        <is xmlns="http://schemas.openxmlformats.org/spreadsheetml/2006/main">
          <t>mm</t>
        </is>
      </x:c>
      <x:c r="E119" s="34" t="inlineStr">
        <is xmlns="http://schemas.openxmlformats.org/spreadsheetml/2006/main">
          <t>ScannerRelative + PhysicalOffset + DoeStageOffset</t>
        </is>
      </x:c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</x:row>
    <x:row r="120" ht="15" hidden="0" customHeight="1">
      <x:c r="A120" s="34" t="inlineStr">
        <is xmlns="http://schemas.openxmlformats.org/spreadsheetml/2006/main">
          <t>동일식 검증</t>
        </is>
      </x:c>
      <x:c r="B120" s="34">
        <f xmlns="http://schemas.openxmlformats.org/spreadsheetml/2006/main">B118-B103+B114</f>
        <v xmlns="http://schemas.openxmlformats.org/spreadsheetml/2006/main">109.9</v>
      </x:c>
      <x:c r="C120" s="34">
        <f xmlns="http://schemas.openxmlformats.org/spreadsheetml/2006/main">C118-C103+C114</f>
        <v xmlns="http://schemas.openxmlformats.org/spreadsheetml/2006/main">35.286</v>
      </x:c>
      <x:c r="D120" s="34" t="inlineStr">
        <is xmlns="http://schemas.openxmlformats.org/spreadsheetml/2006/main">
          <t>mm</t>
        </is>
      </x:c>
      <x:c r="E120" s="34" t="inlineStr">
        <is xmlns="http://schemas.openxmlformats.org/spreadsheetml/2006/main">
          <t>ProcessStage - ReviewCenter + DoeStageOffset</t>
        </is>
      </x:c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</x:row>
  </x:sheetData>
  <x:mergeCells count="11">
    <x:mergeCell ref="A1:Q2"/>
    <x:mergeCell ref="A4:Q4"/>
    <x:mergeCell ref="A13:Q13"/>
    <x:mergeCell ref="A24:Q24"/>
    <x:mergeCell ref="A33:Q33"/>
    <x:mergeCell ref="A40:Q40"/>
    <x:mergeCell ref="A51:Q51"/>
    <x:mergeCell ref="A63:Q63"/>
    <x:mergeCell ref="A75:Q75"/>
    <x:mergeCell ref="A87:Q87"/>
    <mergeCell xmlns="http://schemas.openxmlformats.org/spreadsheetml/2006/main" ref="A101:Q101"/>
  </x:mergeCells>
  <x:pageMargins left="0.7" right="0.7" top="0.75" bottom="0.75" header="0.3" footer="0.3"/>
</x:worksheet>
</file>