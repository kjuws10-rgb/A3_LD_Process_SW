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alcChain.xml" ContentType="application/vnd.openxmlformats-officedocument.spreadsheetml.calcCh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c7c8774ace4ef9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23cac5fc2e04009a7059a4c6151c436.psmdcp" Id="Ra4955539af1d483d" /></Relationships>
</file>

<file path=xl/workbook.xml><?xml version="1.0" encoding="utf-8"?>
<x:workbook xmlns:x="http://schemas.openxmlformats.org/spreadsheetml/2006/main" xmlns:r="http://schemas.openxmlformats.org/officeDocument/2006/relationships">
  <x:workbookPr codeName="ThisWorkbook"/>
  <x:bookViews>
    <x:workbookView firstSheet="0" activeTab="0"/>
  </x:bookViews>
  <x:sheets>
    <x:sheet name="UPDATE_SUMMARY" sheetId="7" r:id="rId6"/>
    <x:sheet name="INPUT_CONFIG" sheetId="2" r:id="rId7"/>
    <x:sheet name="SCANNER_OFFSET" sheetId="3" r:id="rId8"/>
    <x:sheet name="DOE16_MATRIX" sheetId="4" r:id="rId9"/>
    <x:sheet name="COORDINATE_CHECK" sheetId="5" r:id="rId10"/>
    <x:sheet name="A1_EXECUTION_MODE" sheetId="6" r:id="rId11"/>
    <x:sheet xmlns:r="http://schemas.openxmlformats.org/officeDocument/2006/relationships" name="LEGACY_20260717" sheetId="1" r:id="R92da5c6161f7484f"/>
  </x:sheets>
  <x:definedNames>
    <x:definedName name="_xlnm._FilterDatabase" localSheetId="1" hidden="1">INPUT_CONFIG!$A$5:$F$49</x:definedName>
    <x:definedName name="_xlnm._FilterDatabase" localSheetId="2" hidden="1">SCANNER_OFFSET!$A$5:$Q$13</x:definedName>
    <x:definedName name="_xlnm._FilterDatabase" localSheetId="3" hidden="1">DOE16_MATRIX!$A$11:$I$27</x:definedName>
  </x:definedNames>
  <x:calcPr calcMode="auto" fullCalcOnLoad="1" forceFullCalc="1"/>
</x:workbook>
</file>

<file path=xl/calcChain.xml><?xml version="1.0" encoding="utf-8"?>
<x:calcChain xmlns:x="http://schemas.openxmlformats.org/spreadsheetml/2006/main">
  <x:c r="G26" i="1"/>
  <x:c r="J26" i="1"/>
  <x:c r="M26" i="1"/>
  <x:c r="B27" i="1"/>
  <x:c r="C27" i="1"/>
  <x:c r="H27" i="1"/>
  <x:c r="J27" i="1"/>
  <x:c r="M27" i="1"/>
  <x:c r="B28" i="1"/>
  <x:c r="C28" i="1"/>
  <x:c r="B29" i="1"/>
  <x:c r="C29" i="1"/>
  <x:c r="B30" i="1"/>
  <x:c r="C30" i="1"/>
  <x:c r="F35" i="1"/>
  <x:c r="G35" i="1"/>
  <x:c r="H35" i="1"/>
  <x:c r="I35" i="1"/>
  <x:c r="L35" i="1"/>
  <x:c r="M35" i="1"/>
  <x:c r="E36" i="1"/>
  <x:c r="F36" i="1"/>
  <x:c r="G36" i="1"/>
  <x:c r="H36" i="1"/>
  <x:c r="I36" i="1"/>
  <x:c r="L36" i="1"/>
  <x:c r="M36" i="1"/>
  <x:c r="D37" i="1"/>
  <x:c r="F37" i="1"/>
  <x:c r="G37" i="1"/>
  <x:c r="H37" i="1"/>
  <x:c r="I37" i="1"/>
  <x:c r="D38" i="1"/>
  <x:c r="E38" i="1"/>
  <x:c r="F38" i="1"/>
  <x:c r="G38" i="1"/>
  <x:c r="H38" i="1"/>
  <x:c r="I38" i="1"/>
  <x:c r="H42" i="1"/>
  <x:c r="I42" i="1"/>
  <x:c r="H43" i="1"/>
  <x:c r="I43" i="1"/>
  <x:c r="H44" i="1"/>
  <x:c r="I44" i="1"/>
  <x:c r="B46" i="1"/>
  <x:c r="C46" i="1"/>
  <x:c r="B47" i="1"/>
  <x:c r="C47" i="1"/>
  <x:c r="B48" i="1"/>
  <x:c r="C48" i="1"/>
  <x:c r="G53" i="1"/>
  <x:c r="H53" i="1"/>
  <x:c r="M53" i="1"/>
  <x:c r="N53" i="1"/>
  <x:c r="O53" i="1"/>
  <x:c r="G54" i="1"/>
  <x:c r="H54" i="1"/>
  <x:c r="M54" i="1"/>
  <x:c r="N54" i="1"/>
  <x:c r="O54" i="1"/>
  <x:c r="G55" i="1"/>
  <x:c r="H55" i="1"/>
  <x:c r="M55" i="1"/>
  <x:c r="N55" i="1"/>
  <x:c r="O55" i="1"/>
  <x:c r="G56" i="1"/>
  <x:c r="H56" i="1"/>
  <x:c r="M56" i="1"/>
  <x:c r="N56" i="1"/>
  <x:c r="O56" i="1"/>
  <x:c r="G57" i="1"/>
  <x:c r="H57" i="1"/>
  <x:c r="M57" i="1"/>
  <x:c r="N57" i="1"/>
  <x:c r="O57" i="1"/>
  <x:c r="G58" i="1"/>
  <x:c r="H58" i="1"/>
  <x:c r="M58" i="1"/>
  <x:c r="N58" i="1"/>
  <x:c r="O58" i="1"/>
  <x:c r="G59" i="1"/>
  <x:c r="H59" i="1"/>
  <x:c r="M59" i="1"/>
  <x:c r="N59" i="1"/>
  <x:c r="O59" i="1"/>
  <x:c r="G60" i="1"/>
  <x:c r="H60" i="1"/>
  <x:c r="M60" i="1"/>
  <x:c r="N60" i="1"/>
  <x:c r="O60" i="1"/>
  <x:c r="F65" i="1"/>
  <x:c r="I65" i="1"/>
  <x:c r="L65" i="1"/>
  <x:c r="B66" i="1"/>
  <x:c r="C66" i="1"/>
  <x:c r="G66" i="1"/>
  <x:c r="I66" i="1"/>
  <x:c r="L66" i="1"/>
  <x:c r="B67" i="1"/>
  <x:c r="C67" i="1"/>
  <x:c r="L67" i="1"/>
  <x:c r="B68" i="1"/>
  <x:c r="C68" i="1"/>
  <x:c r="L68" i="1"/>
  <x:c r="B69" i="1"/>
  <x:c r="C69" i="1"/>
  <x:c r="B71" i="1"/>
  <x:c r="C71" i="1"/>
  <x:c r="B77" i="1"/>
  <x:c r="C77" i="1"/>
  <x:c r="G77" i="1"/>
  <x:c r="J77" i="1"/>
  <x:c r="M77" i="1"/>
  <x:c r="B78" i="1"/>
  <x:c r="C78" i="1"/>
  <x:c r="H78" i="1"/>
  <x:c r="J78" i="1"/>
  <x:c r="M78" i="1"/>
  <x:c r="B79" i="1"/>
  <x:c r="C79" i="1"/>
  <x:c r="M79" i="1"/>
  <x:c r="B80" i="1"/>
  <x:c r="C80" i="1"/>
  <x:c r="M80" i="1"/>
  <x:c r="B81" i="1"/>
  <x:c r="C81" i="1"/>
  <x:c r="B82" i="1"/>
  <x:c r="C82" i="1"/>
  <x:c r="B83" i="1"/>
  <x:c r="C83" i="1"/>
  <x:c r="B84" i="1"/>
  <x:c r="C84" i="1"/>
  <x:c r="B95" i="1"/>
  <x:c r="B96" i="1"/>
  <x:c r="B97" i="1"/>
  <x:c r="B98" i="1"/>
  <x:c r="B99" i="1"/>
  <x:c r="B106" i="1"/>
  <x:c r="C106" i="1"/>
  <x:c r="B107" i="1"/>
  <x:c r="C107" i="1"/>
  <x:c r="B109" i="1"/>
  <x:c r="B111" i="1"/>
  <x:c r="C111" i="1"/>
  <x:c r="B112" i="1"/>
  <x:c r="C112" i="1"/>
  <x:c r="B117" i="1"/>
  <x:c r="C117" i="1"/>
  <x:c r="B118" i="1"/>
  <x:c r="C118" i="1"/>
  <x:c r="B119" i="1"/>
  <x:c r="C119" i="1"/>
  <x:c r="B120" i="1"/>
  <x:c r="C120" i="1"/>
  <x:c r="C6" i="3"/>
  <x:c r="D6" i="3"/>
  <x:c r="E6" i="3"/>
  <x:c r="F6" i="3"/>
  <x:c r="G6" i="3"/>
  <x:c r="H6" i="3"/>
  <x:c r="J6" i="3"/>
  <x:c r="K6" i="3"/>
  <x:c r="L6" i="3"/>
  <x:c r="M6" i="3"/>
  <x:c r="N6" i="3"/>
  <x:c r="O6" i="3"/>
  <x:c r="P6" i="3"/>
  <x:c r="C7" i="3"/>
  <x:c r="D7" i="3"/>
  <x:c r="E7" i="3"/>
  <x:c r="F7" i="3"/>
  <x:c r="G7" i="3"/>
  <x:c r="H7" i="3"/>
  <x:c r="J7" i="3"/>
  <x:c r="K7" i="3"/>
  <x:c r="L7" i="3"/>
  <x:c r="M7" i="3"/>
  <x:c r="N7" i="3"/>
  <x:c r="O7" i="3"/>
  <x:c r="P7" i="3"/>
  <x:c r="C8" i="3"/>
  <x:c r="D8" i="3"/>
  <x:c r="E8" i="3"/>
  <x:c r="F8" i="3"/>
  <x:c r="G8" i="3"/>
  <x:c r="H8" i="3"/>
  <x:c r="J8" i="3"/>
  <x:c r="K8" i="3"/>
  <x:c r="L8" i="3"/>
  <x:c r="M8" i="3"/>
  <x:c r="N8" i="3"/>
  <x:c r="O8" i="3"/>
  <x:c r="P8" i="3"/>
  <x:c r="C9" i="3"/>
  <x:c r="D9" i="3"/>
  <x:c r="E9" i="3"/>
  <x:c r="F9" i="3"/>
  <x:c r="G9" i="3"/>
  <x:c r="H9" i="3"/>
  <x:c r="J9" i="3"/>
  <x:c r="K9" i="3"/>
  <x:c r="L9" i="3"/>
  <x:c r="M9" i="3"/>
  <x:c r="N9" i="3"/>
  <x:c r="O9" i="3"/>
  <x:c r="P9" i="3"/>
  <x:c r="C10" i="3"/>
  <x:c r="D10" i="3"/>
  <x:c r="E10" i="3"/>
  <x:c r="F10" i="3"/>
  <x:c r="G10" i="3"/>
  <x:c r="H10" i="3"/>
  <x:c r="J10" i="3"/>
  <x:c r="K10" i="3"/>
  <x:c r="L10" i="3"/>
  <x:c r="M10" i="3"/>
  <x:c r="N10" i="3"/>
  <x:c r="O10" i="3"/>
  <x:c r="P10" i="3"/>
  <x:c r="C11" i="3"/>
  <x:c r="D11" i="3"/>
  <x:c r="E11" i="3"/>
  <x:c r="F11" i="3"/>
  <x:c r="G11" i="3"/>
  <x:c r="H11" i="3"/>
  <x:c r="J11" i="3"/>
  <x:c r="K11" i="3"/>
  <x:c r="L11" i="3"/>
  <x:c r="M11" i="3"/>
  <x:c r="N11" i="3"/>
  <x:c r="O11" i="3"/>
  <x:c r="P11" i="3"/>
  <x:c r="C12" i="3"/>
  <x:c r="D12" i="3"/>
  <x:c r="E12" i="3"/>
  <x:c r="F12" i="3"/>
  <x:c r="G12" i="3"/>
  <x:c r="H12" i="3"/>
  <x:c r="J12" i="3"/>
  <x:c r="K12" i="3"/>
  <x:c r="L12" i="3"/>
  <x:c r="M12" i="3"/>
  <x:c r="N12" i="3"/>
  <x:c r="O12" i="3"/>
  <x:c r="P12" i="3"/>
  <x:c r="C13" i="3"/>
  <x:c r="D13" i="3"/>
  <x:c r="E13" i="3"/>
  <x:c r="F13" i="3"/>
  <x:c r="G13" i="3"/>
  <x:c r="H13" i="3"/>
  <x:c r="J13" i="3"/>
  <x:c r="K13" i="3"/>
  <x:c r="L13" i="3"/>
  <x:c r="M13" i="3"/>
  <x:c r="N13" i="3"/>
  <x:c r="O13" i="3"/>
  <x:c r="P13" i="3"/>
  <x:c r="D12" i="4"/>
  <x:c r="E12" i="4"/>
  <x:c r="F12" i="4"/>
  <x:c r="G12" i="4"/>
  <x:c r="H12" i="4"/>
  <x:c r="I12" i="4"/>
  <x:c r="D13" i="4"/>
  <x:c r="E13" i="4"/>
  <x:c r="F13" i="4"/>
  <x:c r="G13" i="4"/>
  <x:c r="H13" i="4"/>
  <x:c r="I13" i="4"/>
  <x:c r="D14" i="4"/>
  <x:c r="E14" i="4"/>
  <x:c r="F14" i="4"/>
  <x:c r="G14" i="4"/>
  <x:c r="H14" i="4"/>
  <x:c r="I14" i="4"/>
  <x:c r="D15" i="4"/>
  <x:c r="E15" i="4"/>
  <x:c r="F15" i="4"/>
  <x:c r="G15" i="4"/>
  <x:c r="H15" i="4"/>
  <x:c r="I15" i="4"/>
  <x:c r="D16" i="4"/>
  <x:c r="E16" i="4"/>
  <x:c r="F16" i="4"/>
  <x:c r="G16" i="4"/>
  <x:c r="H16" i="4"/>
  <x:c r="I16" i="4"/>
  <x:c r="D17" i="4"/>
  <x:c r="E17" i="4"/>
  <x:c r="F17" i="4"/>
  <x:c r="G17" i="4"/>
  <x:c r="H17" i="4"/>
  <x:c r="I17" i="4"/>
  <x:c r="D18" i="4"/>
  <x:c r="E18" i="4"/>
  <x:c r="F18" i="4"/>
  <x:c r="G18" i="4"/>
  <x:c r="H18" i="4"/>
  <x:c r="I18" i="4"/>
  <x:c r="D19" i="4"/>
  <x:c r="E19" i="4"/>
  <x:c r="F19" i="4"/>
  <x:c r="G19" i="4"/>
  <x:c r="H19" i="4"/>
  <x:c r="I19" i="4"/>
  <x:c r="D20" i="4"/>
  <x:c r="E20" i="4"/>
  <x:c r="F20" i="4"/>
  <x:c r="G20" i="4"/>
  <x:c r="H20" i="4"/>
  <x:c r="I20" i="4"/>
  <x:c r="D21" i="4"/>
  <x:c r="E21" i="4"/>
  <x:c r="F21" i="4"/>
  <x:c r="G21" i="4"/>
  <x:c r="H21" i="4"/>
  <x:c r="I21" i="4"/>
  <x:c r="D22" i="4"/>
  <x:c r="E22" i="4"/>
  <x:c r="F22" i="4"/>
  <x:c r="G22" i="4"/>
  <x:c r="H22" i="4"/>
  <x:c r="I22" i="4"/>
  <x:c r="D23" i="4"/>
  <x:c r="E23" i="4"/>
  <x:c r="F23" i="4"/>
  <x:c r="G23" i="4"/>
  <x:c r="H23" i="4"/>
  <x:c r="I23" i="4"/>
  <x:c r="D24" i="4"/>
  <x:c r="E24" i="4"/>
  <x:c r="F24" i="4"/>
  <x:c r="G24" i="4"/>
  <x:c r="H24" i="4"/>
  <x:c r="I24" i="4"/>
  <x:c r="D25" i="4"/>
  <x:c r="E25" i="4"/>
  <x:c r="F25" i="4"/>
  <x:c r="G25" i="4"/>
  <x:c r="H25" i="4"/>
  <x:c r="I25" i="4"/>
  <x:c r="D26" i="4"/>
  <x:c r="E26" i="4"/>
  <x:c r="F26" i="4"/>
  <x:c r="G26" i="4"/>
  <x:c r="H26" i="4"/>
  <x:c r="I26" i="4"/>
  <x:c r="D27" i="4"/>
  <x:c r="E27" i="4"/>
  <x:c r="F27" i="4"/>
  <x:c r="G27" i="4"/>
  <x:c r="H27" i="4"/>
  <x:c r="I27" i="4"/>
  <x:c r="B7" i="5"/>
  <x:c r="C7" i="5"/>
  <x:c r="B8" i="5"/>
  <x:c r="C8" i="5"/>
  <x:c r="B9" i="5"/>
  <x:c r="C9" i="5"/>
  <x:c r="B10" i="5"/>
  <x:c r="C10" i="5"/>
  <x:c r="B11" i="5"/>
  <x:c r="C11" i="5"/>
  <x:c r="B17" i="5"/>
  <x:c r="C17" i="5"/>
  <x:c r="B18" i="5"/>
  <x:c r="C18" i="5"/>
  <x:c r="B19" i="5"/>
  <x:c r="C19" i="5"/>
  <x:c r="B20" i="5"/>
  <x:c r="C20" i="5"/>
  <x:c r="B24" i="5"/>
  <x:c r="C24" i="5"/>
  <x:c r="B25" i="5"/>
  <x:c r="C25" i="5"/>
  <x:c r="B26" i="5"/>
  <x:c r="C26" i="5"/>
  <x:c r="B27" i="5"/>
  <x:c r="C27" i="5"/>
  <x:c r="B28" i="5"/>
  <x:c r="C28" i="5"/>
  <x:c r="B29" i="5"/>
  <x:c r="C29" i="5"/>
  <x:c r="B30" i="5"/>
  <x:c r="C30" i="5"/>
  <x:c r="B31" i="5"/>
  <x:c r="C31" i="5"/>
  <x:c r="B32" i="5"/>
  <x:c r="C32" i="5"/>
  <x:c r="B33" i="5"/>
  <x:c r="C33" i="5"/>
</x:calcChain>
</file>

<file path=xl/sharedStrings.xml><?xml version="1.0" encoding="utf-8"?>
<x:sst xmlns:x="http://schemas.openxmlformats.org/spreadsheetml/2006/main">
  <x:si>
    <x:t>Review Camera 기준 Master AK1 역참조 좌표계 생성 / 6GH(1500×925 mm) MMULT 계산 시뮬레이션</x:t>
  </x:si>
  <x:si>
    <x:t>1. 컨셉 검토 결과 / 적용 전제</x:t>
  </x:si>
  <x:si>
    <x:t>항목</x:t>
  </x:si>
  <x:si>
    <x:t>내용</x:t>
  </x:si>
  <x:si>
    <x:t>단위</x:t>
  </x:si>
  <x:si>
    <x:t>비고</x:t>
  </x:si>
  <x:si>
    <x:t>검토 결론</x:t>
  </x:si>
  <x:si>
    <x:t>방향성은 타당함</x:t>
  </x:si>
  <x:si>
    <x:t>-</x:t>
  </x:si>
  <x:si>
    <x:t>Review Camera로 Master AK1 위치를 실측해 Recipe Local의 Translation Anchor로 사용하는 구조는 유효함</x:t>
  </x:si>
  <x:si>
    <x:t>핵심 전제 1</x:t>
  </x:si>
  <x:si>
    <x:t>Vision Alignment로 θ_align 확보</x:t>
  </x:si>
  <x:si>
    <x:t>deg</x:t>
  </x:si>
  <x:si>
    <x:t>사용자 조건대로 Vision Align에서 구한 기판 중심 기준 X/Y/θ 중 θ_align을 사용함</x:t>
  </x:si>
  <x:si>
    <x:t>핵심 전제 2</x:t>
  </x:si>
  <x:si>
    <x:t>Review / Align / Scanner 동일 Machine Global 정합</x:t>
  </x:si>
  <x:si>
    <x:t>mm</x:t>
  </x:si>
  <x:si>
    <x:t>같은 원점, 같은 축 방향, 같은 Calibration 기준이어야 함</x:t>
  </x:si>
  <x:si>
    <x:t>핵심 전제 3</x:t>
  </x:si>
  <x:si>
    <x:t>Head Center는 Review 기준 Offset + Install Offset으로 관리</x:t>
  </x:si>
  <x:si>
    <x:t>설계 Offset만 쓰지 말고 설치/Default Offset을 포함한 Virtual Center로 관리</x:t>
  </x:si>
  <x:si>
    <x:t>장점</x:t>
  </x:si>
  <x:si>
    <x:t>Review 기준 Global Offset을 모든 Head 공통 보정량으로 사용 가능</x:t>
  </x:si>
  <x:si>
    <x:t>Review 결과를 Global Error로 변환하면 Head별 좌표계와 무관하게 공정 Offset 적용 가능</x:t>
  </x:si>
  <x:si>
    <x:t>주의</x:t>
  </x:si>
  <x:si>
    <x:t>Translation은 Review AK1 측정으로 대체 가능하나 θ는 별도 필요</x:t>
  </x:si>
  <x:si>
    <x:t>θ를 무시하면 Master AK에서 멀어진 Cell일수록 위치 오차가 누적됨</x:t>
  </x:si>
  <x:si>
    <x:t>2. 권장 Global 기준 및 6GH 대상물 / Review 기준 기지값</x:t>
  </x:si>
  <x:si>
    <x:t>X / 값</x:t>
  </x:si>
  <x:si>
    <x:t>Y / 값</x:t>
  </x:si>
  <x:si>
    <x:t>설명</x:t>
  </x:si>
  <x:si>
    <x:t>Panel Size 6GH</x:t>
  </x:si>
  <x:si>
    <x:t>장변 Xg=1500 mm, 단변 Yg=925 mm / 주행방향은 단변 방향(+Yg, Front→Rear)</x:t>
  </x:si>
  <x:si>
    <x:t>Align Key Edge Margin</x:t>
  </x:si>
  <x:si>
    <x:t>AK는 4꼭지점 근처 배치. AK1 기준 X 방향 유효거리=1500-2×55, Y 방향 유효거리=925-2×45</x:t>
  </x:si>
  <x:si>
    <x:t>Review Camera Center Global</x:t>
  </x:si>
  <x:si>
    <x:t>현재 Review X / Main Y 위치에서 Review 이미지 중심점의 Machine Global 좌표</x:t>
  </x:si>
  <x:si>
    <x:t>Review Pixel Center</x:t>
  </x:si>
  <x:si>
    <x:t>px</x:t>
  </x:si>
  <x:si>
    <x:t>Review 이미지 중심 U0/V0</x:t>
  </x:si>
  <x:si>
    <x:t>Review Pixel Scale</x:t>
  </x:si>
  <x:si>
    <x:t>mm/px</x:t>
  </x:si>
  <x:si>
    <x:t>예시 단순 2×2 Affine 모델. 실제는 H_review 또는 보정행렬 사용 권장</x:t>
  </x:si>
  <x:si>
    <x:t>Vision θ_align</x:t>
  </x:si>
  <x:si>
    <x:t/>
  </x:si>
  <x:si>
    <x:t>Vision Alignment 결과 중 회전값. Translation은 Review 측정 AK1 Anchor 사용</x:t>
  </x:si>
  <x:si>
    <x:t>Machine Global Origin</x:t>
  </x:si>
  <x:si>
    <x:t>UVW Center @ Main Y=0, Review X=0 + Calibration Offset</x:t>
  </x:si>
  <x:si>
    <x:t>설비 고정 공통 원점. 기판 중심은 Align마다 변하므로 Global 원점으로 사용하지 않음</x:t>
  </x:si>
  <x:si>
    <x:t>3. Review Camera로 Master AK1 측정 → AK1 Global Anchor 생성 [MMULT]</x:t>
  </x:si>
  <x:si>
    <x:t>입력/계산</x:t>
  </x:si>
  <x:si>
    <x:t>U 또는 X</x:t>
  </x:si>
  <x:si>
    <x:t>V 또는 Y</x:t>
  </x:si>
  <x:si>
    <x:t>A_review Matrix</x:t>
  </x:si>
  <x:si>
    <x:t>Pixel Offset Vector</x:t>
  </x:si>
  <x:si>
    <x:t>결과</x:t>
  </x:si>
  <x:si>
    <x:t>값</x:t>
  </x:si>
  <x:si>
    <x:t>Measured AK1 Pixel</x:t>
  </x:si>
  <x:si>
    <x:t>Review 이미지에서 검출된 Master AK1 중심 Pixel</x:t>
  </x:si>
  <x:si>
    <x:t>AK1 Global X</x:t>
  </x:si>
  <x:si>
    <x:t>ΔPixel = Measured - Center</x:t>
  </x:si>
  <x:si>
    <x:t>이미지 중심 대비 Pixel Offset</x:t>
  </x:si>
  <x:si>
    <x:t>AK1 Global Y</x:t>
  </x:si>
  <x:si>
    <x:t>Review Center Global</x:t>
  </x:si>
  <x:si>
    <x:t>Review Camera 중심 Global 좌표</x:t>
  </x:si>
  <x:si>
    <x:t>Translation Anchor</x:t>
  </x:si>
  <x:si>
    <x:t>P_AK1_global [mm]</x:t>
  </x:si>
  <x:si>
    <x:t>Pixel→Global Offset</x:t>
  </x:si>
  <x:si>
    <x:t>MMULT(A_review, ΔPixel) 결과</x:t>
  </x:si>
  <x:si>
    <x:t>AK1 Global Anchor</x:t>
  </x:si>
  <x:si>
    <x:t>P_AK1_global = ReviewCenter + PixelOffsetGlobal</x:t>
  </x:si>
  <x:si>
    <x:t>AK1 Master(-Xp,-Yp)</x:t>
  </x:si>
  <x:si>
    <x:t>Recipe Local 원점</x:t>
  </x:si>
  <x:si>
    <x:t>이 값이 전체 Recipe Local 좌표계의 Translation Anchor</x:t>
  </x:si>
  <x:si>
    <x:t>4. 4점 Align Key Design / Camera #1~#4 배치 및 θ_align 반영 Global 예측 [MMULT]</x:t>
  </x:si>
  <x:si>
    <x:t>AK</x:t>
  </x:si>
  <x:si>
    <x:t>Camera</x:t>
  </x:si>
  <x:si>
    <x:t>위치</x:t>
  </x:si>
  <x:si>
    <x:t>Local X</x:t>
  </x:si>
  <x:si>
    <x:t>Local Y</x:t>
  </x:si>
  <x:si>
    <x:t>R·Local X</x:t>
  </x:si>
  <x:si>
    <x:t>R·Local Y</x:t>
  </x:si>
  <x:si>
    <x:t>Global X</x:t>
  </x:si>
  <x:si>
    <x:t>Global Y</x:t>
  </x:si>
  <x:si>
    <x:t>R Matrix</x:t>
  </x:si>
  <x:si>
    <x:t>AK1</x:t>
  </x:si>
  <x:si>
    <x:t>Cam#1</x:t>
  </x:si>
  <x:si>
    <x:t>Master Front</x:t>
  </x:si>
  <x:si>
    <x:t>AK1 = Master Front / Camera #1</x:t>
  </x:si>
  <x:si>
    <x:t>Origin</x:t>
  </x:si>
  <x:si>
    <x:t>AK2</x:t>
  </x:si>
  <x:si>
    <x:t>Cam#2</x:t>
  </x:si>
  <x:si>
    <x:t>Master Rear</x:t>
  </x:si>
  <x:si>
    <x:t>AK2 = Master Rear / Camera #2</x:t>
  </x:si>
  <x:si>
    <x:t>Y 방향 Rear</x:t>
  </x:si>
  <x:si>
    <x:t>AK3</x:t>
  </x:si>
  <x:si>
    <x:t>Cam#3</x:t>
  </x:si>
  <x:si>
    <x:t>Slave Front</x:t>
  </x:si>
  <x:si>
    <x:t>AK3 = Slave Front / Camera #3</x:t>
  </x:si>
  <x:si>
    <x:t>X 방향 Slave</x:t>
  </x:si>
  <x:si>
    <x:t>AK4</x:t>
  </x:si>
  <x:si>
    <x:t>Cam#4</x:t>
  </x:si>
  <x:si>
    <x:t>Slave Rear</x:t>
  </x:si>
  <x:si>
    <x:t>AK4 = Slave Rear / Camera #4</x:t>
  </x:si>
  <x:si>
    <x:t>대각 위치</x:t>
  </x:si>
  <x:si>
    <x:t>5. Master AK1 기준 Recipe Local 가공좌표 → Align 반영 Target Global [MMULT]</x:t>
  </x:si>
  <x:si>
    <x:t>X</x:t>
  </x:si>
  <x:si>
    <x:t>Y</x:t>
  </x:si>
  <x:si>
    <x:t>결과 항목</x:t>
  </x:si>
  <x:si>
    <x:t>Cell First</x:t>
  </x:si>
  <x:si>
    <x:t>Master AK1 기준 첫 Cell 위치</x:t>
  </x:si>
  <x:si>
    <x:t>P_local [mm]</x:t>
  </x:si>
  <x:si>
    <x:t>Cell Index</x:t>
  </x:si>
  <x:si>
    <x:t>Column / Row Index</x:t>
  </x:si>
  <x:si>
    <x:t>R·P_local [mm]</x:t>
  </x:si>
  <x:si>
    <x:t>Pitch</x:t>
  </x:si>
  <x:si>
    <x:t>Cell 간 Pitch</x:t>
  </x:si>
  <x:si>
    <x:t>Target Global [mm]</x:t>
  </x:si>
  <x:si>
    <x:t>Pattern Offset</x:t>
  </x:si>
  <x:si>
    <x:t>Cell 내부 가공점 Offset</x:t>
  </x:si>
  <x:si>
    <x:t>P_local</x:t>
  </x:si>
  <x:si>
    <x:t>Cell First + Index×Pitch + Pattern</x:t>
  </x:si>
  <x:si>
    <x:t>R·P_local</x:t>
  </x:si>
  <x:si>
    <x:t>MMULT(R, P_local)</x:t>
  </x:si>
  <x:si>
    <x:t>P_target_global</x:t>
  </x:si>
  <x:si>
    <x:t>P_AK1_global + R·P_local</x:t>
  </x:si>
  <x:si>
    <x:t>Selected Example</x:t>
  </x:si>
  <x:si>
    <x:t>Cell C14/R9 + Pattern</x:t>
  </x:si>
  <x:si>
    <x:t>H5 영역에 들어오도록 설정한 예시 좌표</x:t>
  </x:si>
  <x:si>
    <x:t>Head</x:t>
  </x:si>
  <x:si>
    <x:t>Type</x:t>
  </x:si>
  <x:si>
    <x:t>Review→Head Offset X</x:t>
  </x:si>
  <x:si>
    <x:t>Review→Head Offset Y</x:t>
  </x:si>
  <x:si>
    <x:t>Install/Default Offset X</x:t>
  </x:si>
  <x:si>
    <x:t>Install/Default Offset Y</x:t>
  </x:si>
  <x:si>
    <x:t>Center X</x:t>
  </x:si>
  <x:si>
    <x:t>Center Y</x:t>
  </x:si>
  <x:si>
    <x:t>Field Half X</x:t>
  </x:si>
  <x:si>
    <x:t>Field Half Y</x:t>
  </x:si>
  <x:si>
    <x:t>Sx</x:t>
  </x:si>
  <x:si>
    <x:t>Sy</x:t>
  </x:si>
  <x:si>
    <x:t>D_x</x:t>
  </x:si>
  <x:si>
    <x:t>D_y</x:t>
  </x:si>
  <x:si>
    <x:t>H1</x:t>
  </x:si>
  <x:si>
    <x:t>Odd</x:t>
  </x:si>
  <x:si>
    <x:t>H2</x:t>
  </x:si>
  <x:si>
    <x:t>Even</x:t>
  </x:si>
  <x:si>
    <x:t>H3</x:t>
  </x:si>
  <x:si>
    <x:t>H4</x:t>
  </x:si>
  <x:si>
    <x:t>H5</x:t>
  </x:si>
  <x:si>
    <x:t>H6</x:t>
  </x:si>
  <x:si>
    <x:t>H7</x:t>
  </x:si>
  <x:si>
    <x:t>H8</x:t>
  </x:si>
  <x:si>
    <x:t>7. Selected Head 기준 Gx/Gy Command 계산 [MMULT]</x:t>
  </x:si>
  <x:si>
    <x:t>S Matrix</x:t>
  </x:si>
  <x:si>
    <x:t>D Vector</x:t>
  </x:si>
  <x:si>
    <x:t>Gx Field</x:t>
  </x:si>
  <x:si>
    <x:t>Center C_i</x:t>
  </x:si>
  <x:si>
    <x:t>Gy Field</x:t>
  </x:si>
  <x:si>
    <x:t>Target Global</x:t>
  </x:si>
  <x:si>
    <x:t>Gx Command</x:t>
  </x:si>
  <x:si>
    <x:t>D = Target - C_i</x:t>
  </x:si>
  <x:si>
    <x:t>Gy Command</x:t>
  </x:si>
  <x:si>
    <x:t>Pscanner = S·D</x:t>
  </x:si>
  <x:si>
    <x:t>Field Correction</x:t>
  </x:si>
  <x:si>
    <x:t>Final Command</x:t>
  </x:si>
  <x:si>
    <x:t>Odd Sign Rule</x:t>
  </x:si>
  <x:si>
    <x:t>+Gx=-Xp</x:t>
  </x:si>
  <x:si>
    <x:t>+Gy=+Yp</x:t>
  </x:si>
  <x:si>
    <x:t>Even Sign Rule</x:t>
  </x:si>
  <x:si>
    <x:t>+Gx=+Xp</x:t>
  </x:si>
  <x:si>
    <x:t>+Gy=-Yp</x:t>
  </x:si>
  <x:si>
    <x:t>8. Review 측정 결과 → Global Error / Process Offset [MMULT]</x:t>
  </x:si>
  <x:si>
    <x:t>X 또는 U</x:t>
  </x:si>
  <x:si>
    <x:t>Y 또는 V</x:t>
  </x:si>
  <x:si>
    <x:t>가공 목표 Global 좌표</x:t>
  </x:si>
  <x:si>
    <x:t>Error X</x:t>
  </x:si>
  <x:si>
    <x:t>Review Center Global at Target</x:t>
  </x:si>
  <x:si>
    <x:t>Review X / Main Y 이동 후 이미지 중심을 Target Global에 맞춘 상태</x:t>
  </x:si>
  <x:si>
    <x:t>Error Y</x:t>
  </x:si>
  <x:si>
    <x:t>Measured Result Pixel</x:t>
  </x:si>
  <x:si>
    <x:t>가공 결과 Hole/Mark 검출 Pixel</x:t>
  </x:si>
  <x:si>
    <x:t>Offset X</x:t>
  </x:si>
  <x:si>
    <x:t>Pixel Offset</x:t>
  </x:si>
  <x:si>
    <x:t>Measured Pixel - Image Center</x:t>
  </x:si>
  <x:si>
    <x:t>Offset Y</x:t>
  </x:si>
  <x:si>
    <x:t>MMULT(A_review, Pixel Offset)</x:t>
  </x:si>
  <x:si>
    <x:t>공통 적용</x:t>
  </x:si>
  <x:si>
    <x:t>Head와 무관한 Global Offset</x:t>
  </x:si>
  <x:si>
    <x:t>Measured Result Global</x:t>
  </x:si>
  <x:si>
    <x:t>Target Center + Pixel Global Offset</x:t>
  </x:si>
  <x:si>
    <x:t>Offset_process [mm] = -E_global [mm]</x:t>
  </x:si>
  <x:si>
    <x:t>Global Error = Measured - Target</x:t>
  </x:si>
  <x:si>
    <x:t>가공 결과 오차</x:t>
  </x:si>
  <x:si>
    <x:t>Process Offset = -Error</x:t>
  </x:si>
  <x:si>
    <x:t>다음 가공에 적용할 Global Offset</x:t>
  </x:si>
  <x:si>
    <x:t>9. 최종 요약 / 검토 결론</x:t>
  </x:si>
  <x:si>
    <x:t>결론 항목</x:t>
  </x:si>
  <x:si>
    <x:t>검증</x:t>
  </x:si>
  <x:si>
    <x:t>컨셉 적합성</x:t>
  </x:si>
  <x:si>
    <x:t>적합(조건부)</x:t>
  </x:si>
  <x:si>
    <x:t>Review Camera로 Master AK1 Global Anchor를 만드는 방식은 유효함</x:t>
  </x:si>
  <x:si>
    <x:t>좌표계 통일 필요</x:t>
  </x:si>
  <x:si>
    <x:t>주행방향</x:t>
  </x:si>
  <x:si>
    <x:t>Front→Rear / +Yg</x:t>
  </x:si>
  <x:si>
    <x:t>기판 단변 925 mm 방향이 Main Y 주행방향</x:t>
  </x:si>
  <x:si>
    <x:t>반영</x:t>
  </x:si>
  <x:si>
    <x:t>AK 배치</x:t>
  </x:si>
  <x:si>
    <x:t>Cam#1 MF, Cam#2 MR, Cam#3 SF, Cam#4 SR</x:t>
  </x:si>
  <x:si>
    <x:t>4꼭지점 근처 AK 기준 / AK1이 Recipe Local 원점</x:t>
  </x:si>
  <x:si>
    <x:t>최종 Global 식</x:t>
  </x:si>
  <x:si>
    <x:t>Pglobal = P_AK1_global + R(θ_align)·Plocal</x:t>
  </x:si>
  <x:si>
    <x:t>Review 실측 AK1 Translation Anchor + Vision θ</x:t>
  </x:si>
  <x:si>
    <x:t>MMULT 사용</x:t>
  </x:si>
  <x:si>
    <x:t>최종 Scanner 식</x:t>
  </x:si>
  <x:si>
    <x:t>Pscanner = S_i·(Pglobal-C_i)</x:t>
  </x:si>
  <x:si>
    <x:t>Head별 Virtual Center와 Odd/Even Sign Matrix 사용</x:t>
  </x:si>
  <x:si>
    <x:t>Review 보정</x:t>
  </x:si>
  <x:si>
    <x:t>Offset_process = -E_global</x:t>
  </x:si>
  <x:si>
    <x:t>Review 결과를 Global Error로 환산해 다음 가공에 공통 Offset 적용</x:t>
  </x:si>
  <x:si>
    <x:t>선택 Head</x:t>
  </x:si>
  <x:si>
    <x:t>예시 대상 가공점은 H5 Odd Field 내부</x:t>
  </x:si>
  <x:si>
    <x:t>확인 필요</x:t>
  </x:si>
  <x:si>
    <x:t>Final Gx Command</x:t>
  </x:si>
  <x:si>
    <x:t>최종 Gx Command</x:t>
  </x:si>
  <x:si>
    <x:t>계산</x:t>
  </x:si>
  <x:si>
    <x:t>Final Gy Command</x:t>
  </x:si>
  <x:si>
    <x:t>최종 Gy Command</x:t>
  </x:si>
  <x:si>
    <x:t>Process Offset X</x:t>
  </x:si>
  <x:si>
    <x:t>다음 가공 Global Offset X</x:t>
  </x:si>
  <x:si>
    <x:t>Process Offset Y</x:t>
  </x:si>
  <x:si>
    <x:t>다음 가공 Global Offset Y</x:t>
  </x:si>
  <x:si>
    <x:t>CURRENT INPUT CONFIGURATION</x:t>
  </x:si>
  <x:si>
    <x:t>노란색 Value 셀은 현재 코드 검증 CSV에서 읽은 입력입니다. 고정 Geometry와 동적 보정값을 구분해 관리하십시오.</x:t>
  </x:si>
  <x:si>
    <x:t>Category</x:t>
  </x:si>
  <x:si>
    <x:t>Key</x:t>
  </x:si>
  <x:si>
    <x:t>Current Value</x:t>
  </x:si>
  <x:si>
    <x:t>Unit</x:t>
  </x:si>
  <x:si>
    <x:t>Data Role</x:t>
  </x:si>
  <x:si>
    <x:t>Description</x:t>
  </x:si>
  <x:si>
    <x:t>Board</x:t>
  </x:si>
  <x:si>
    <x:t>BoardSizeX</x:t>
  </x:si>
  <x:si>
    <x:t>Recipe</x:t>
  </x:si>
  <x:si>
    <x:t>기판 X 크기</x:t>
  </x:si>
  <x:si>
    <x:t>BoardSizeY</x:t>
  </x:si>
  <x:si>
    <x:t>기판 Y 크기</x:t>
  </x:si>
  <x:si>
    <x:t>AlignMarginX</x:t>
  </x:si>
  <x:si>
    <x:t>AK X 가장자리 Margin</x:t>
  </x:si>
  <x:si>
    <x:t>AlignMarginY</x:t>
  </x:si>
  <x:si>
    <x:t>AK Y 가장자리 Margin</x:t>
  </x:si>
  <x:si>
    <x:t>Transport</x:t>
  </x:si>
  <x:si>
    <x:t>HomeStageY</x:t>
  </x:si>
  <x:si>
    <x:t>Equipment</x:t>
  </x:si>
  <x:si>
    <x:t>공정 시작/종료 Stage Home Y</x:t>
  </x:si>
  <x:si>
    <x:t>ForwardTransportSignY</x:t>
  </x:si>
  <x:si>
    <x:t>sign</x:t>
  </x:si>
  <x:si>
    <x:t>+1이면 +Y 전진 후 -Y MOF</x:t>
  </x:si>
  <x:si>
    <x:t>Review</x:t>
  </x:si>
  <x:si>
    <x:t>ReviewCenterGlobalX</x:t>
  </x:si>
  <x:si>
    <x:t>Calibration</x:t>
  </x:si>
  <x:si>
    <x:t>Review Camera 광학 중심 Global X</x:t>
  </x:si>
  <x:si>
    <x:t>ReviewCenterGlobalY</x:t>
  </x:si>
  <x:si>
    <x:t>Review Camera 광학 중심 Global Y</x:t>
  </x:si>
  <x:si>
    <x:t>ReviewPixelCenterU</x:t>
  </x:si>
  <x:si>
    <x:t>Review 영상 중심 U</x:t>
  </x:si>
  <x:si>
    <x:t>ReviewPixelCenterV</x:t>
  </x:si>
  <x:si>
    <x:t>Review 영상 중심 V</x:t>
  </x:si>
  <x:si>
    <x:t>PixelScaleX</x:t>
  </x:si>
  <x:si>
    <x:t>Review X Pixel Scale</x:t>
  </x:si>
  <x:si>
    <x:t>PixelScaleY</x:t>
  </x:si>
  <x:si>
    <x:t>Review Y Pixel Scale</x:t>
  </x:si>
  <x:si>
    <x:t>Align</x:t>
  </x:si>
  <x:si>
    <x:t>MeasuredAk1U</x:t>
  </x:si>
  <x:si>
    <x:t>Measurement</x:t>
  </x:si>
  <x:si>
    <x:t>검출된 AK1 U</x:t>
  </x:si>
  <x:si>
    <x:t>MeasuredAk1V</x:t>
  </x:si>
  <x:si>
    <x:t>검출된 AK1 V</x:t>
  </x:si>
  <x:si>
    <x:t>ThetaAlignDeg</x:t>
  </x:si>
  <x:si>
    <x:t>기판 회전 보정각</x:t>
  </x:si>
  <x:si>
    <x:t>Cell</x:t>
  </x:si>
  <x:si>
    <x:t>CellFirstX</x:t>
  </x:si>
  <x:si>
    <x:t>AK1 기준 첫 가공점 X</x:t>
  </x:si>
  <x:si>
    <x:t>CellFirstY</x:t>
  </x:si>
  <x:si>
    <x:t>AK1 기준 첫 가공점 Y</x:t>
  </x:si>
  <x:si>
    <x:t>CellPitchX</x:t>
  </x:si>
  <x:si>
    <x:t>Cell 내부 X Pitch</x:t>
  </x:si>
  <x:si>
    <x:t>CellPitchY</x:t>
  </x:si>
  <x:si>
    <x:t>Cell 내부 Y Pitch</x:t>
  </x:si>
  <x:si>
    <x:t>PatternOffsetX</x:t>
  </x:si>
  <x:si>
    <x:t>Pattern X Offset</x:t>
  </x:si>
  <x:si>
    <x:t>PatternOffsetY</x:t>
  </x:si>
  <x:si>
    <x:t>Pattern Y Offset</x:t>
  </x:si>
  <x:si>
    <x:t>CellColumns</x:t>
  </x:si>
  <x:si>
    <x:t>count</x:t>
  </x:si>
  <x:si>
    <x:t>Cell 내부 열 수</x:t>
  </x:si>
  <x:si>
    <x:t>CellRows</x:t>
  </x:si>
  <x:si>
    <x:t>Cell 내부 행 수</x:t>
  </x:si>
  <x:si>
    <x:t>Cell Block</x:t>
  </x:si>
  <x:si>
    <x:t>CellBlockColumns</x:t>
  </x:si>
  <x:si>
    <x:t>기판 Cell Block 열 수</x:t>
  </x:si>
  <x:si>
    <x:t>CellBlockRows</x:t>
  </x:si>
  <x:si>
    <x:t>기판 Cell Block 행 수</x:t>
  </x:si>
  <x:si>
    <x:t>CellBlockPitchX</x:t>
  </x:si>
  <x:si>
    <x:t>Block X Pitch; 0이면 자동</x:t>
  </x:si>
  <x:si>
    <x:t>CellBlockPitchY</x:t>
  </x:si>
  <x:si>
    <x:t>Block Y Pitch; 0이면 자동</x:t>
  </x:si>
  <x:si>
    <x:t>Scanner</x:t>
  </x:si>
  <x:si>
    <x:t>ScannerCount</x:t>
  </x:si>
  <x:si>
    <x:t>Scanner Head 수</x:t>
  </x:si>
  <x:si>
    <x:t>HighlightScannerHeads</x:t>
  </x:si>
  <x:si>
    <x:t>head</x:t>
  </x:si>
  <x:si>
    <x:t>UI</x:t>
  </x:si>
  <x:si>
    <x:t>선택/강조 Head</x:t>
  </x:si>
  <x:si>
    <x:t>FirstScannerInitialStageX</x:t>
  </x:si>
  <x:si>
    <x:t>Teaching</x:t>
  </x:si>
  <x:si>
    <x:t>H1 실제 Stage 중심 X</x:t>
  </x:si>
  <x:si>
    <x:t>FirstScannerInitialStageY</x:t>
  </x:si>
  <x:si>
    <x:t>H1 실제 Stage 중심 Y</x:t>
  </x:si>
  <x:si>
    <x:t>ScannerOriginTolerance</x:t>
  </x:si>
  <x:si>
    <x:t>Safety</x:t>
  </x:si>
  <x:si>
    <x:t>H1 실제/기대 중심 허용오차</x:t>
  </x:si>
  <x:si>
    <x:t>ReviewToFirstScannerOffsetX</x:t>
  </x:si>
  <x:si>
    <x:t>Review Camera→H1 고정 물리 X 거리</x:t>
  </x:si>
  <x:si>
    <x:t>ReviewToFirstScannerOffsetY</x:t>
  </x:si>
  <x:si>
    <x:t>Review Camera→H1 고정 물리 Y 거리</x:t>
  </x:si>
  <x:si>
    <x:t>ScannerPitchX</x:t>
  </x:si>
  <x:si>
    <x:t>Head X Pitch</x:t>
  </x:si>
  <x:si>
    <x:t>EvenScannerYOffset</x:t>
  </x:si>
  <x:si>
    <x:t>Even Head 지그재그 Y Offset</x:t>
  </x:si>
  <x:si>
    <x:t>ScannerFieldHalfX</x:t>
  </x:si>
  <x:si>
    <x:t>Scanner X 가공 반폭</x:t>
  </x:si>
  <x:si>
    <x:t>ScannerFieldHalfY</x:t>
  </x:si>
  <x:si>
    <x:t>Reference</x:t>
  </x:si>
  <x:si>
    <x:t>Scanner 설계 Y 반폭; MOF 커버 판정은 X 중심</x:t>
  </x:si>
  <x:si>
    <x:t>ReviewBasisScannerHead</x:t>
  </x:si>
  <x:si>
    <x:t>Review 좌표 기준 Head</x:t>
  </x:si>
  <x:si>
    <x:t>DOE</x:t>
  </x:si>
  <x:si>
    <x:t>ReviewBasisDoeBeam</x:t>
  </x:si>
  <x:si>
    <x:t>beam</x:t>
  </x:si>
  <x:si>
    <x:t>Review 좌표 기준 DOE Beam</x:t>
  </x:si>
  <x:si>
    <x:t>DoeBeamPitchX</x:t>
  </x:si>
  <x:si>
    <x:t>DOE X Pitch</x:t>
  </x:si>
  <x:si>
    <x:t>DoeBeamPitchY</x:t>
  </x:si>
  <x:si>
    <x:t>DOE Y Pitch</x:t>
  </x:si>
  <x:si>
    <x:t>Correction</x:t>
  </x:si>
  <x:si>
    <x:t>ProcessOffsetGlobalX</x:t>
  </x:si>
  <x:si>
    <x:t>Dynamic</x:t>
  </x:si>
  <x:si>
    <x:t>Review 결과 기반 다음 공정 X 보정</x:t>
  </x:si>
  <x:si>
    <x:t>ProcessOffsetGlobalY</x:t>
  </x:si>
  <x:si>
    <x:t>Review 결과 기반 다음 공정 Y 보정</x:t>
  </x:si>
  <x:si>
    <x:t>REVIEW CAMERA ↔ 8-SCANNER PHYSICAL OFFSET</x:t>
  </x:si>
  <x:si>
    <x:t>Center는 H1 Initial Stage에서 파생하고, Expected Center는 Review Camera + 고정 Physical Offset에서 독립 계산합니다. Error가 허용오차를 넘으면 실행을 차단해야 합니다.</x:t>
  </x:si>
  <x:si>
    <x:t>Mount</x:t>
  </x:si>
  <x:si>
    <x:t>Camera→Head X</x:t>
  </x:si>
  <x:si>
    <x:t>Camera→Head Y</x:t>
  </x:si>
  <x:si>
    <x:t>Band Min X</x:t>
  </x:si>
  <x:si>
    <x:t>Band Max X</x:t>
  </x:si>
  <x:si>
    <x:t>Y Coverage</x:t>
  </x:si>
  <x:si>
    <x:t>Expected X</x:t>
  </x:si>
  <x:si>
    <x:t>Expected Y</x:t>
  </x:si>
  <x:si>
    <x:t>Tolerance</x:t>
  </x:si>
  <x:si>
    <x:t>Valid</x:t>
  </x:si>
  <x:si>
    <x:t>MOF Sort</x:t>
  </x:si>
  <x:si>
    <x:t>기판 Y 전체</x:t>
  </x:si>
  <x:si>
    <x:t>H1 초기 위치와 Review→H1 설계 오프셋 일치 검증 기준</x:t>
  </x:si>
  <x:si>
    <x:t>H1 기준 X Pitch 및 Even Y Offset으로 파생</x:t>
  </x:si>
  <x:si>
    <x:t>DOE 16 BEAM MATRIX AND HEAD SIGN CONVERSION</x:t>
  </x:si>
  <x:si>
    <x:t>Scanner Offset은 Gx/Gy 좌표입니다. Stage Offset은 Head Mount 부호의 역변환이며, 선택 Beam은 INPUT_CONFIG의 ReviewBasisDoeBeam을 사용합니다.</x:t>
  </x:si>
  <x:si>
    <x:t>DOE01
(-0.27, -0.27)</x:t>
  </x:si>
  <x:si>
    <x:t>DOE02
(-0.09, -0.27)</x:t>
  </x:si>
  <x:si>
    <x:t>DOE03
(0.09, -0.27)</x:t>
  </x:si>
  <x:si>
    <x:t>DOE04
(0.27, -0.27)</x:t>
  </x:si>
  <x:si>
    <x:t>DOE05
(-0.27, -0.09)</x:t>
  </x:si>
  <x:si>
    <x:t>DOE06
(-0.09, -0.09)</x:t>
  </x:si>
  <x:si>
    <x:t>DOE07
(0.09, -0.09)</x:t>
  </x:si>
  <x:si>
    <x:t>DOE08
(0.27, -0.09)</x:t>
  </x:si>
  <x:si>
    <x:t>DOE09
(-0.27, 0.09)</x:t>
  </x:si>
  <x:si>
    <x:t>DOE10
(-0.09, 0.09)</x:t>
  </x:si>
  <x:si>
    <x:t>DOE11
(0.09, 0.09)</x:t>
  </x:si>
  <x:si>
    <x:t>DOE12
(0.27, 0.09)</x:t>
  </x:si>
  <x:si>
    <x:t>DOE13
(-0.27, 0.27)</x:t>
  </x:si>
  <x:si>
    <x:t>DOE14
(-0.09, 0.27)</x:t>
  </x:si>
  <x:si>
    <x:t>DOE15
(0.09, 0.27)</x:t>
  </x:si>
  <x:si>
    <x:t>DOE16
(0.27, 0.27)</x:t>
  </x:si>
  <x:si>
    <x:t>Beam</x:t>
  </x:si>
  <x:si>
    <x:t>Row</x:t>
  </x:si>
  <x:si>
    <x:t>Column</x:t>
  </x:si>
  <x:si>
    <x:t>Scanner X</x:t>
  </x:si>
  <x:si>
    <x:t>Scanner Y</x:t>
  </x:si>
  <x:si>
    <x:t>Odd Stage X</x:t>
  </x:si>
  <x:si>
    <x:t>Odd Stage Y</x:t>
  </x:si>
  <x:si>
    <x:t>Even Stage X</x:t>
  </x:si>
  <x:si>
    <x:t>Even Stage Y</x:t>
  </x:si>
  <x:si>
    <x:t>B1 / H2 / DOE05 PROCESS ↔ REVIEW COORDINATE CHECK</x:t>
  </x:si>
  <x:si>
    <x:t>동일한 가공점을 Stage→Scanner Gx/Gy와 Stage→Review Camera 두 경로로 계산합니다. 마지막 Transform Error가 (0, 0)이면 물리 Offset 부호가 일치합니다.</x:t>
  </x:si>
  <x:si>
    <x:t>1. Review AK1 Anchor</x:t>
  </x:si>
  <x:si>
    <x:t>X / U</x:t>
  </x:si>
  <x:si>
    <x:t>Y / V</x:t>
  </x:si>
  <x:si>
    <x:t>Pixel Delta</x:t>
  </x:si>
  <x:si>
    <x:t>Pixel→Global</x:t>
  </x:si>
  <x:si>
    <x:t>Measured - PixelCenter</x:t>
  </x:si>
  <x:si>
    <x:t>PixelDelta × PixelScale</x:t>
  </x:si>
  <x:si>
    <x:t>ReviewCenter + PixelGlobalOffset</x:t>
  </x:si>
  <x:si>
    <x:t>2. Cell# Block Origin 및 B1 Local Point</x:t>
  </x:si>
  <x:si>
    <x:t>X / Col</x:t>
  </x:si>
  <x:si>
    <x:t>Y / Row</x:t>
  </x:si>
  <x:si>
    <x:t>수식</x:t>
  </x:si>
  <x:si>
    <x:t>Example Index</x:t>
  </x:si>
  <x:si>
    <x:t>0-based</x:t>
  </x:si>
  <x:si>
    <x:t>B1 = Column index 1, Row index 0</x:t>
  </x:si>
  <x:si>
    <x:t>CellBlock</x:t>
  </x:si>
  <x:si>
    <x:t>1-based</x:t>
  </x:si>
  <x:si>
    <x:t>Block Col / Row</x:t>
  </x:si>
  <x:si>
    <x:t>index</x:t>
  </x:si>
  <x:si>
    <x:t>(CellBlock-1)%Columns / INT((CellBlock-1)/Columns)</x:t>
  </x:si>
  <x:si>
    <x:t>Effective Block Pitch</x:t>
  </x:si>
  <x:si>
    <x:t>Block Origin</x:t>
  </x:si>
  <x:si>
    <x:t>Origin = BlockIndex × EffectivePitch</x:t>
  </x:si>
  <x:si>
    <x:t>B1 Local Point</x:t>
  </x:si>
  <x:si>
    <x:t>Origin + First + Index×Pitch + PatternOffset</x:t>
  </x:si>
  <x:si>
    <x:t>현재 값: Local (110, 35)</x:t>
  </x:si>
  <x:si>
    <x:t>3. Stage → Scanner Process Gx/Gy → Review Camera</x:t>
  </x:si>
  <x:si>
    <x:t>수식/부호</x:t>
  </x:si>
  <x:si>
    <x:t>예상값</x:t>
  </x:si>
  <x:si>
    <x:t>Design Stage</x:t>
  </x:si>
  <x:si>
    <x:t>Process Stage</x:t>
  </x:si>
  <x:si>
    <x:t>H2 Center</x:t>
  </x:si>
  <x:si>
    <x:t>H2 ScannerRelative</x:t>
  </x:si>
  <x:si>
    <x:t>Process Gx/Gy</x:t>
  </x:si>
  <x:si>
    <x:t>DOE05 Even Stage Offset</x:t>
  </x:si>
  <x:si>
    <x:t>Review Coordinate</x:t>
  </x:si>
  <x:si>
    <x:t>Independent Review Check</x:t>
  </x:si>
  <x:si>
    <x:t>Transform Error</x:t>
  </x:si>
  <x:si>
    <x:t>Review Pixel</x:t>
  </x:si>
  <x:si>
    <x:t>AK1 + R(theta)×Local</x:t>
  </x:si>
  <x:si>
    <x:t>Design + Dynamic Process Offset</x:t>
  </x:si>
  <x:si>
    <x:t>ReviewBasisScannerHead = H2</x:t>
  </x:si>
  <x:si>
    <x:t>ProcessStage - ScannerCenter</x:t>
  </x:si>
  <x:si>
    <x:t>Even: Gx=RelativeX, Gy=-RelativeY</x:t>
  </x:si>
  <x:si>
    <x:t>약 (-99.830, 1024.804)</x:t>
  </x:si>
  <x:si>
    <x:t>(-0.270, 0.090)</x:t>
  </x:si>
  <x:si>
    <x:t>ScannerRelative + CameraToH2 + DOE</x:t>
  </x:si>
  <x:si>
    <x:t>약 (109.900, 35.286)</x:t>
  </x:si>
  <x:si>
    <x:t>ProcessStage - ReviewCenter + DOE</x:t>
  </x:si>
  <x:si>
    <x:t>반드시 (0, 0)</x:t>
  </x:si>
  <x:si>
    <x:t>PixelCenter + Review(mm)/Scale</x:t>
  </x:si>
  <x:si>
    <x:t>AUTOMATION1 SCRIPT GENERATION / COMPILE / EXECUTION MODE</x:t>
  </x:si>
  <x:si>
    <x:t>Program.Run(sourceFile)의 내부 Compile 예외를 직접 노출하지 않고, Controller Compiler로 먼저 진단한 뒤 CompiledAeroScript만 실행합니다.</x:t>
  </x:si>
  <x:si>
    <x:t>구분</x:t>
  </x:si>
  <x:si>
    <x:t>Simulation - Virtual Wait</x:t>
  </x:si>
  <x:si>
    <x:t>Equipment - Hardware</x:t>
  </x:si>
  <x:si>
    <x:t>검사 시점</x:t>
  </x:si>
  <x:si>
    <x:t>차단 조건</x:t>
  </x:si>
  <x:si>
    <x:t>API/코드</x:t>
  </x:si>
  <x:si>
    <x:t>결과 상태</x:t>
  </x:si>
  <x:si>
    <x:t>목적</x:t>
  </x:si>
  <x:si>
    <x:t>Y PositionFeedback wait와 GX/GY 순서 검증</x:t>
  </x:si>
  <x:si>
    <x:t>실제 Scanner 좌표 이동 골격</x:t>
  </x:si>
  <x:si>
    <x:t>생성</x:t>
  </x:si>
  <x:si>
    <x:t>Mode 불일치</x:t>
  </x:si>
  <x:si>
    <x:t>AeroScriptGenerator</x:t>
  </x:si>
  <x:si>
    <x:t>Package 생성</x:t>
  </x:si>
  <x:si>
    <x:t>필수 축</x:t>
  </x:si>
  <x:si>
    <x:t>Y, GX, GY</x:t>
  </x:si>
  <x:si>
    <x:t>선택 Head의 GX/GY 축</x:t>
  </x:si>
  <x:si>
    <x:t>Compile 전</x:t>
  </x:si>
  <x:si>
    <x:t>MCD에 축 없음</x:t>
  </x:si>
  <x:si>
    <x:t>Runtime.Axes</x:t>
  </x:si>
  <x:si>
    <x:t>상세 축 목록</x:t>
  </x:si>
  <x:si>
    <x:t>축 종류</x:t>
  </x:si>
  <x:si>
    <x:t>모든 필수 축 Virtual</x:t>
  </x:si>
  <x:si>
    <x:t>실제 설비 MCD</x:t>
  </x:si>
  <x:si>
    <x:t>Simulation에서 Physical 축 감지</x:t>
  </x:si>
  <x:si>
    <x:t>Axis.HyperWireDevice</x:t>
  </x:si>
  <x:si>
    <x:t>실행 차단</x:t>
  </x:si>
  <x:si>
    <x:t>금지 명령</x:t>
  </x:si>
  <x:si>
    <x:t>Laser/PSO/HW Aux/Galvo Calibration</x:t>
  </x:si>
  <x:si>
    <x:t>검증 Library/Interlock 확정 후 적용</x:t>
  </x:si>
  <x:si>
    <x:t>Virtual H/W 명령</x:t>
  </x:si>
  <x:si>
    <x:t>VirtualWaitSimulation</x:t>
  </x:si>
  <x:si>
    <x:t>Hardware 명령 제외</x:t>
  </x:si>
  <x:si>
    <x:t>사전 Compile</x:t>
  </x:si>
  <x:si>
    <x:t>필수</x:t>
  </x:si>
  <x:si>
    <x:t>Controller 기록 후</x:t>
  </x:si>
  <x:si>
    <x:t>CompilerErrors 존재</x:t>
  </x:si>
  <x:si>
    <x:t>Controller.Compiler.CompileControllerFile(file,true)</x:t>
  </x:si>
  <x:si>
    <x:t>Compiled / CompileError</x:t>
  </x:si>
  <x:si>
    <x:t>컴파일 진단</x:t>
  </x:si>
  <x:si>
    <x:t>파일, 시작/끝 행·열, 메시지</x:t>
  </x:si>
  <x:si>
    <x:t>Compile 실패</x:t>
  </x:si>
  <x:si>
    <x:t>문법/축/MCD/Library 오류</x:t>
  </x:si>
  <x:si>
    <x:t>CompileException.CompilerErrors</x:t>
  </x:si>
  <x:si>
    <x:t>Failed + Audit</x:t>
  </x:si>
  <x:si>
    <x:t>실행 승인</x:t>
  </x:si>
  <x:si>
    <x:t>Simulation profile</x:t>
  </x:si>
  <x:si>
    <x:t>축/원점/Limit, Safety, Laser Path, 작업자 승인</x:t>
  </x:si>
  <x:si>
    <x:t>Run 직전</x:t>
  </x:si>
  <x:si>
    <x:t>4개 조건 중 하나라도 미확인</x:t>
  </x:si>
  <x:si>
    <x:t>Automation1HardwareReadiness</x:t>
  </x:si>
  <x:si>
    <x:t>Task 실행</x:t>
  </x:si>
  <x:si>
    <x:t>CompiledAeroScript</x:t>
  </x:si>
  <x:si>
    <x:t>Compile 성공 후</x:t>
  </x:si>
  <x:si>
    <x:t>Task Busy</x:t>
  </x:si>
  <x:si>
    <x:t>Tasks[n].Program.Run(compiledProgram)</x:t>
  </x:si>
  <x:si>
    <x:t>Running</x:t>
  </x:si>
  <x:si>
    <x:t>완료 판정</x:t>
  </x:si>
  <x:si>
    <x:t>ProgramComplete</x:t>
  </x:si>
  <x:si>
    <x:t>250 ms 상태 조회</x:t>
  </x:si>
  <x:si>
    <x:t>Error/비정상 상태 이탈</x:t>
  </x:si>
  <x:si>
    <x:t>Tasks[n].Status.TaskState</x:t>
  </x:si>
  <x:si>
    <x:t>Completed / Failed</x:t>
  </x:si>
  <x:si>
    <x:t>Audit</x:t>
  </x:si>
  <x:si>
    <x:t>Job/Mode/Axes/SHA/상태/오류</x:t>
  </x:si>
  <x:si>
    <x:t>상태 변경</x:t>
  </x:si>
  <x:si>
    <x:t>기록 실패</x:t>
  </x:si>
  <x:si>
    <x:t>Files.WriteText(mof_job_*.json)</x:t>
  </x:si>
  <x:si>
    <x:t>Controller 이력</x:t>
  </x:si>
  <x:si>
    <x:t>AeroScript 생성 문법 점검</x:t>
  </x:si>
  <x:si>
    <x:t>정상 예시</x:t>
  </x:si>
  <x:si>
    <x:t>MoveAbsolute(Y, $StartYPos + 40, 20)</x:t>
  </x:si>
  <x:si>
    <x:t>wait(StatusGetAxisItem(Y, AxisStatusItem.PositionFeedback) &gt; $StartYPos + 10)</x:t>
  </x:si>
  <x:si>
    <x:t>오류 표시</x:t>
  </x:si>
  <x:si>
    <x:t>program.ascript(행,열)-(행,열): compiler message</x:t>
  </x:si>
  <x:si>
    <x:t>A1 MOF / REVIEW COORDINATE OFFSET - 2026-07-22 UPDATE</x:t>
  </x:si>
  <x:si>
    <x:t>현재 WPF 좌표 변환 코드, Automation1 직접 연결 구조 및 Review↔Scanner 물리 오프셋 검증 기준을 한 문서로 정리했습니다.</x:t>
  </x:si>
  <x:si>
    <x:t>1. 이번 업데이트 범위</x:t>
  </x:si>
  <x:si>
    <x:t>반영 내용</x:t>
  </x:si>
  <x:si>
    <x:t>확인 시트</x:t>
  </x:si>
  <x:si>
    <x:t>입력 기준</x:t>
  </x:si>
  <x:si>
    <x:t>현재 CELL_LAYOUT_CONFIG_REVIEW_OFFSET_CHECK.csv의 전체 입력값</x:t>
  </x:si>
  <x:si>
    <x:t>INPUT_CONFIG</x:t>
  </x:si>
  <x:si>
    <x:t>Scanner 물리 배치</x:t>
  </x:si>
  <x:si>
    <x:t>H1 초기 위치와 Review→H1 고정 오프셋을 분리하고 8개 Head 중심/오프셋 계산</x:t>
  </x:si>
  <x:si>
    <x:t>SCANNER_OFFSET</x:t>
  </x:si>
  <x:si>
    <x:t>DOE16</x:t>
  </x:si>
  <x:si>
    <x:t>4×4 Beam, Scanner 좌표 및 Odd/Even Stage 부호 변환</x:t>
  </x:si>
  <x:si>
    <x:t>DOE16_MATRIX</x:t>
  </x:si>
  <x:si>
    <x:t>좌표 검증</x:t>
  </x:si>
  <x:si>
    <x:t>AK1→Cell Local→Stage→Process Gx/Gy→Review 좌표를 B1/H2/DOE05로 교차 검증</x:t>
  </x:si>
  <x:si>
    <x:t>COORDINATE_CHECK</x:t>
  </x:si>
  <x:si>
    <x:t>AeroScript 실행</x:t>
  </x:si>
  <x:si>
    <x:t>Simulation/Equipment 생성·Compile·실행·상태·안전 조건 분리</x:t>
  </x:si>
  <x:si>
    <x:t>A1_EXECUTION_MODE</x:t>
  </x:si>
  <x:si>
    <x:t>원본 보존</x:t>
  </x:si>
  <x:si>
    <x:t>2026-07-17 단일 시트는 변경 없이 Legacy 탭으로 보존</x:t>
  </x:si>
  <x:si>
    <x:t>LEGACY_20260717</x:t>
  </x:si>
  <x:si>
    <x:t>2. 설비 동작 순서</x:t>
  </x:si>
  <x:si>
    <x:t>1. Home</x:t>
  </x:si>
  <x:si>
    <x:t>→</x:t>
  </x:si>
  <x:si>
    <x:t>2. Review Camera 통과</x:t>
  </x:si>
  <x:si>
    <x:t>3. Scanner 뒤쪽까지 정방향 이동</x:t>
  </x:si>
  <x:si>
    <x:t>4. 방향 반전</x:t>
  </x:si>
  <x:si>
    <x:t>5. 역방향 MOF 가공</x:t>
  </x:si>
  <x:si>
    <x:t>6. Review 후측정</x:t>
  </x:si>
  <x:si>
    <x:t>7. Home 복귀</x:t>
  </x:si>
  <x:si>
    <x:t>3. 반드시 구분할 Offset</x:t>
  </x:si>
  <x:si>
    <x:t>정의</x:t>
  </x:si>
  <x:si>
    <x:t>변경 조건</x:t>
  </x:si>
  <x:si>
    <x:t>적용 위치</x:t>
  </x:si>
  <x:si>
    <x:t>Review→Scanner Physical Offset</x:t>
  </x:si>
  <x:si>
    <x:t>ScannerCenter - ReviewCameraCenter</x:t>
  </x:si>
  <x:si>
    <x:t>기구 변경/Teaching/Calibration</x:t>
  </x:si>
  <x:si>
    <x:t>Scanner 중심 및 Review 좌표 변환</x:t>
  </x:si>
  <x:si>
    <x:t>H1 Initial Stage</x:t>
  </x:si>
  <x:si>
    <x:t>실제 설계 또는 Teaching으로 얻은 H1 Stage 중심</x:t>
  </x:si>
  <x:si>
    <x:t>설치/재Teaching</x:t>
  </x:si>
  <x:si>
    <x:t>Scanner 전체 배치의 시작점</x:t>
  </x:si>
  <x:si>
    <x:t>ProcessOffsetGlobal</x:t>
  </x:si>
  <x:si>
    <x:t>가공 후 Review 측정 오차를 다음 가공에 반영하는 동적 보정</x:t>
  </x:si>
  <x:si>
    <x:t>Review 결과/보정 승인</x:t>
  </x:si>
  <x:si>
    <x:t>Process Stage 좌표</x:t>
  </x:si>
  <x:si>
    <x:t>DOE Stage Offset</x:t>
  </x:si>
  <x:si>
    <x:t>선택 Beam의 Scanner Offset을 Head Odd/Even 부호로 Stage에 역변환</x:t>
  </x:si>
  <x:si>
    <x:t>DOE Pitch/Beam 선택</x:t>
  </x:si>
  <x:si>
    <x:t>Review 측정 기준점</x:t>
  </x:si>
  <x:si>
    <x:t>핵심 등식</x:t>
  </x:si>
  <x:si>
    <x:t>ReviewCoordinate = ScannerRelative + CameraToScannerPhysicalOffset + DoeStageOffset</x:t>
  </x:si>
  <x:si>
    <x:t>ReviewCoordinate = ProcessStage - ReviewCameraCenter + DoeStageOffset</x:t>
  </x:si>
  <x:si>
    <x:t>두 결과의 차이는 (0, 0)이어야 합니다.</x:t>
  </x:si>
</x:sst>
</file>

<file path=xl/styles.xml><?xml version="1.0" encoding="utf-8"?>
<x:styleSheet xmlns:x="http://schemas.openxmlformats.org/spreadsheetml/2006/main">
  <x:numFmts count="3">
    <x:numFmt numFmtId="200" formatCode="#,##0.000"/>
    <x:numFmt numFmtId="201" formatCode="@"/>
    <x:numFmt numFmtId="202" formatCode="0.######"/>
  </x:numFmts>
  <x:fonts count="9">
    <x:font>
      <x:sz val="11"/>
      <x:name val="Carlito"/>
    </x:font>
    <x:font>
      <x:b/>
      <x:sz val="18"/>
      <x:color rgb="FFFFFF"/>
      <x:name val="Carlito"/>
    </x:font>
    <x:font>
      <x:b/>
      <x:sz val="12"/>
      <x:color rgb="FFFFFF"/>
      <x:name val="Carlito"/>
    </x:font>
    <x:font>
      <x:b/>
      <x:sz val="11"/>
      <x:name val="Carlito"/>
    </x:font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맑은 고딕"/>
      <x:family val="2"/>
    </x:font>
    <x:font>
      <x:b/>
      <x:vertAlign val="baseline"/>
      <x:sz val="10"/>
      <x:color rgb="FFFFFFFF"/>
      <x:name val="맑은 고딕"/>
      <x:family val="2"/>
    </x:font>
    <x:font>
      <x:b/>
      <x:vertAlign val="baseline"/>
      <x:sz val="10"/>
      <x:color rgb="FF000000"/>
      <x:name val="맑은 고딕"/>
      <x:family val="2"/>
    </x:font>
    <x:font>
      <x:vertAlign val="baseline"/>
      <x:sz val="10"/>
      <x:color rgb="FF1E3A8A"/>
      <x:name val="맑은 고딕"/>
      <x:family val="2"/>
    </x:font>
  </x:fonts>
  <x:fills count="16">
    <x:fill>
      <x:patternFill patternType="none"/>
    </x:fill>
    <x:fill>
      <x:patternFill patternType="gray125"/>
    </x:fill>
    <x:fill>
      <x:patternFill patternType="solid">
        <x:fgColor rgb="0B2F6B"/>
      </x:patternFill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FF0F172A"/>
      </x:patternFill>
    </x:fill>
    <x:fill>
      <x:patternFill patternType="solid">
        <x:fgColor rgb="FFFEF3C7"/>
      </x:patternFill>
    </x:fill>
    <x:fill>
      <x:patternFill patternType="solid">
        <x:fgColor rgb="FF334155"/>
      </x:patternFill>
    </x:fill>
    <x:fill>
      <x:patternFill patternType="solid">
        <x:fgColor rgb="FFDBEAFE"/>
      </x:patternFill>
    </x:fill>
    <x:fill>
      <x:patternFill patternType="solid">
        <x:fgColor rgb="FFE0F2FE"/>
      </x:patternFill>
    </x:fill>
    <x:fill>
      <x:patternFill patternType="solid">
        <x:fgColor rgb="FFDCFCE7"/>
      </x:patternFill>
    </x:fill>
    <x:fill>
      <x:patternFill patternType="solid">
        <x:fgColor rgb="FFF59E0B"/>
      </x:patternFill>
    </x:fill>
    <x:fill>
      <x:patternFill patternType="solid">
        <x:fgColor rgb="FF1E3A8A"/>
      </x:patternFill>
    </x:fill>
    <x:fill>
      <x:patternFill patternType="solid">
        <x:fgColor rgb="FFFEE2E2"/>
      </x:patternFill>
    </x:fill>
    <x:fill>
      <x:patternFill patternType="solid">
        <x:fgColor rgb="FF0F766E"/>
      </x:patternFill>
    </x:fill>
    <x:fill>
      <x:patternFill patternType="solid">
        <x:fgColor rgb="FFECFDF5"/>
      </x:patternFill>
    </x:fill>
  </x:fills>
  <x:borders count="12">
    <x:border/>
    <x:border/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94A3B8"/>
      </x:left>
      <x:right style="hair">
        <x:color rgb="FFCBD5E1"/>
      </x:right>
      <x:top style="thin">
        <x:color rgb="FF94A3B8"/>
      </x:top>
      <x:bottom style="hair">
        <x:color rgb="FFCBD5E1"/>
      </x:bottom>
      <x:diagonal style="none">
        <x:color rgb="FF000000"/>
      </x:diagonal>
    </x:border>
    <x:border diagonalUp="0" diagonalDown="0">
      <x:left style="hair">
        <x:color rgb="FFCBD5E1"/>
      </x:left>
      <x:right style="hair">
        <x:color rgb="FFCBD5E1"/>
      </x:right>
      <x:top style="thin">
        <x:color rgb="FF94A3B8"/>
      </x:top>
      <x:bottom style="hair">
        <x:color rgb="FFCBD5E1"/>
      </x:bottom>
      <x:diagonal style="none">
        <x:color rgb="FF000000"/>
      </x:diagonal>
    </x:border>
    <x:border diagonalUp="0" diagonalDown="0">
      <x:left style="hair">
        <x:color rgb="FFCBD5E1"/>
      </x:left>
      <x:right style="thin">
        <x:color rgb="FF94A3B8"/>
      </x:right>
      <x:top style="thin">
        <x:color rgb="FF94A3B8"/>
      </x:top>
      <x:bottom style="hair">
        <x:color rgb="FFCBD5E1"/>
      </x:bottom>
      <x:diagonal style="none">
        <x:color rgb="FF000000"/>
      </x:diagonal>
    </x:border>
    <x:border diagonalUp="0" diagonalDown="0">
      <x:left style="thin">
        <x:color rgb="FF94A3B8"/>
      </x:left>
      <x:right style="hair">
        <x:color rgb="FFCBD5E1"/>
      </x:right>
      <x:top style="hair">
        <x:color rgb="FFCBD5E1"/>
      </x:top>
      <x:bottom style="hair">
        <x:color rgb="FFCBD5E1"/>
      </x:bottom>
      <x:diagonal style="none">
        <x:color rgb="FF000000"/>
      </x:diagonal>
    </x:border>
    <x:border diagonalUp="0" diagonalDown="0">
      <x:left style="hair">
        <x:color rgb="FFCBD5E1"/>
      </x:left>
      <x:right style="hair">
        <x:color rgb="FFCBD5E1"/>
      </x:right>
      <x:top style="hair">
        <x:color rgb="FFCBD5E1"/>
      </x:top>
      <x:bottom style="hair">
        <x:color rgb="FFCBD5E1"/>
      </x:bottom>
      <x:diagonal style="none">
        <x:color rgb="FF000000"/>
      </x:diagonal>
    </x:border>
    <x:border diagonalUp="0" diagonalDown="0">
      <x:left style="hair">
        <x:color rgb="FFCBD5E1"/>
      </x:left>
      <x:right style="thin">
        <x:color rgb="FF94A3B8"/>
      </x:right>
      <x:top style="hair">
        <x:color rgb="FFCBD5E1"/>
      </x:top>
      <x:bottom style="hair">
        <x:color rgb="FFCBD5E1"/>
      </x:bottom>
      <x:diagonal style="none">
        <x:color rgb="FF000000"/>
      </x:diagonal>
    </x:border>
    <x:border diagonalUp="0" diagonalDown="0">
      <x:left style="thin">
        <x:color rgb="FF94A3B8"/>
      </x:left>
      <x:right style="hair">
        <x:color rgb="FFCBD5E1"/>
      </x:right>
      <x:top style="hair">
        <x:color rgb="FFCBD5E1"/>
      </x:top>
      <x:bottom style="thin">
        <x:color rgb="FF94A3B8"/>
      </x:bottom>
      <x:diagonal style="none">
        <x:color rgb="FF000000"/>
      </x:diagonal>
    </x:border>
    <x:border diagonalUp="0" diagonalDown="0">
      <x:left style="hair">
        <x:color rgb="FFCBD5E1"/>
      </x:left>
      <x:right style="hair">
        <x:color rgb="FFCBD5E1"/>
      </x:right>
      <x:top style="hair">
        <x:color rgb="FFCBD5E1"/>
      </x:top>
      <x:bottom style="thin">
        <x:color rgb="FF94A3B8"/>
      </x:bottom>
      <x:diagonal style="none">
        <x:color rgb="FF000000"/>
      </x:diagonal>
    </x:border>
    <x:border diagonalUp="0" diagonalDown="0">
      <x:left style="hair">
        <x:color rgb="FFCBD5E1"/>
      </x:left>
      <x:right style="thin">
        <x:color rgb="FF94A3B8"/>
      </x:right>
      <x:top style="hair">
        <x:color rgb="FFCBD5E1"/>
      </x:top>
      <x:bottom style="thin">
        <x:color rgb="FF94A3B8"/>
      </x:bottom>
      <x:diagonal style="none">
        <x:color rgb="FF000000"/>
      </x:diagonal>
    </x:border>
  </x:borders>
  <x:cellStyleXfs count="65">
    <x:xf numFmtId="0" fontId="0" fillId="0" borderId="0"/>
    <x:xf numFmtId="201" fontId="1" fillId="2" borderId="0" applyNumberFormat="1" applyFill="0" applyBorder="0" applyAlignment="1" applyProtection="1">
      <x:protection locked="1" hidden="0"/>
    </x:xf>
    <x:xf numFmtId="200" fontId="1" fillId="2" borderId="0" applyNumberFormat="1" applyFill="0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3" fillId="4" borderId="0" applyNumberFormat="1" applyFill="0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202" fontId="5" fillId="0" borderId="0" applyNumberFormat="1" applyFill="1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  <x:xf numFmtId="202" fontId="6" fillId="5" borderId="0" applyNumberFormat="1" applyFill="0" applyBorder="0" applyAlignment="1" applyProtection="1">
      <x:protection locked="1" hidden="0"/>
    </x:xf>
    <x:xf numFmtId="0" fontId="5" fillId="6" borderId="0" applyNumberFormat="1" applyFill="0" applyBorder="0" applyAlignment="1" applyProtection="1">
      <x:protection locked="1" hidden="0"/>
    </x:xf>
    <x:xf numFmtId="202" fontId="5" fillId="6" borderId="0" applyNumberFormat="1" applyFill="0" applyBorder="0" applyAlignment="1" applyProtection="1">
      <x:protection locked="1" hidden="0"/>
    </x:xf>
    <x:xf numFmtId="0" fontId="6" fillId="7" borderId="2" applyNumberFormat="1" applyFill="0" applyBorder="1" applyAlignment="1" applyProtection="1">
      <x:protection locked="1" hidden="0"/>
    </x:xf>
    <x:xf numFmtId="202" fontId="6" fillId="7" borderId="2" applyNumberFormat="1" applyFill="0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202" fontId="7" fillId="6" borderId="4" applyNumberFormat="1" applyFill="0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5" fillId="0" borderId="6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202" fontId="7" fillId="6" borderId="7" applyNumberFormat="1" applyFill="0" applyBorder="1" applyAlignment="1" applyProtection="1">
      <x:protection locked="1" hidden="0"/>
    </x:xf>
    <x:xf numFmtId="0" fontId="5" fillId="0" borderId="8" applyNumberFormat="1" applyFill="1" applyBorder="1" applyAlignment="1" applyProtection="1">
      <x:protection locked="1" hidden="0"/>
    </x:xf>
    <x:xf numFmtId="0" fontId="5" fillId="0" borderId="9" applyNumberFormat="1" applyFill="1" applyBorder="1" applyAlignment="1" applyProtection="1">
      <x:protection locked="1" hidden="0"/>
    </x:xf>
    <x:xf numFmtId="0" fontId="5" fillId="0" borderId="10" applyNumberFormat="1" applyFill="1" applyBorder="1" applyAlignment="1" applyProtection="1">
      <x:protection locked="1" hidden="0"/>
    </x:xf>
    <x:xf numFmtId="202" fontId="7" fillId="6" borderId="10" applyNumberFormat="1" applyFill="0" applyBorder="1" applyAlignment="1" applyProtection="1">
      <x:protection locked="1" hidden="0"/>
    </x:xf>
    <x:xf numFmtId="0" fontId="5" fillId="0" borderId="11" applyNumberFormat="1" applyFill="1" applyBorder="1" applyAlignment="1" applyProtection="1">
      <x:protection locked="1" hidden="0"/>
    </x:xf>
    <x:xf numFmtId="0" fontId="5" fillId="8" borderId="0" applyNumberFormat="1" applyFill="0" applyBorder="0" applyAlignment="1" applyProtection="1">
      <x:protection locked="1" hidden="0"/>
    </x:xf>
    <x:xf numFmtId="0" fontId="5" fillId="9" borderId="3" applyNumberFormat="1" applyFill="0" applyBorder="1" applyAlignment="1" applyProtection="1">
      <x:protection locked="1" hidden="0"/>
    </x:xf>
    <x:xf numFmtId="0" fontId="5" fillId="9" borderId="4" applyNumberFormat="1" applyFill="0" applyBorder="1" applyAlignment="1" applyProtection="1">
      <x:protection locked="1" hidden="0"/>
    </x:xf>
    <x:xf numFmtId="202" fontId="5" fillId="0" borderId="4" applyNumberFormat="1" applyFill="1" applyBorder="1" applyAlignment="1" applyProtection="1">
      <x:protection locked="1" hidden="0"/>
    </x:xf>
    <x:xf numFmtId="0" fontId="5" fillId="10" borderId="4" applyNumberFormat="1" applyFill="0" applyBorder="1" applyAlignment="1" applyProtection="1">
      <x:protection locked="1" hidden="0"/>
    </x:xf>
    <x:xf numFmtId="0" fontId="5" fillId="9" borderId="6" applyNumberFormat="1" applyFill="0" applyBorder="1" applyAlignment="1" applyProtection="1">
      <x:protection locked="1" hidden="0"/>
    </x:xf>
    <x:xf numFmtId="0" fontId="5" fillId="9" borderId="7" applyNumberFormat="1" applyFill="0" applyBorder="1" applyAlignment="1" applyProtection="1">
      <x:protection locked="1" hidden="0"/>
    </x:xf>
    <x:xf numFmtId="202" fontId="5" fillId="0" borderId="7" applyNumberFormat="1" applyFill="1" applyBorder="1" applyAlignment="1" applyProtection="1">
      <x:protection locked="1" hidden="0"/>
    </x:xf>
    <x:xf numFmtId="0" fontId="5" fillId="10" borderId="7" applyNumberFormat="1" applyFill="0" applyBorder="1" applyAlignment="1" applyProtection="1">
      <x:protection locked="1" hidden="0"/>
    </x:xf>
    <x:xf numFmtId="0" fontId="5" fillId="9" borderId="9" applyNumberFormat="1" applyFill="0" applyBorder="1" applyAlignment="1" applyProtection="1">
      <x:protection locked="1" hidden="0"/>
    </x:xf>
    <x:xf numFmtId="0" fontId="5" fillId="9" borderId="10" applyNumberFormat="1" applyFill="0" applyBorder="1" applyAlignment="1" applyProtection="1">
      <x:protection locked="1" hidden="0"/>
    </x:xf>
    <x:xf numFmtId="202" fontId="5" fillId="0" borderId="10" applyNumberFormat="1" applyFill="1" applyBorder="1" applyAlignment="1" applyProtection="1">
      <x:protection locked="1" hidden="0"/>
    </x:xf>
    <x:xf numFmtId="0" fontId="5" fillId="10" borderId="10" applyNumberFormat="1" applyFill="0" applyBorder="1" applyAlignment="1" applyProtection="1">
      <x:protection locked="1" hidden="0"/>
    </x:xf>
    <x:xf numFmtId="0" fontId="7" fillId="9" borderId="2" applyNumberFormat="1" applyFill="0" applyBorder="1" applyAlignment="1" applyProtection="1">
      <x:protection locked="1" hidden="0"/>
    </x:xf>
    <x:xf numFmtId="0" fontId="7" fillId="11" borderId="2" applyNumberFormat="1" applyFill="0" applyBorder="1" applyAlignment="1" applyProtection="1">
      <x:protection locked="1" hidden="0"/>
    </x:xf>
    <x:xf numFmtId="202" fontId="5" fillId="0" borderId="5" applyNumberFormat="1" applyFill="1" applyBorder="1" applyAlignment="1" applyProtection="1">
      <x:protection locked="1" hidden="0"/>
    </x:xf>
    <x:xf numFmtId="202" fontId="5" fillId="0" borderId="8" applyNumberFormat="1" applyFill="1" applyBorder="1" applyAlignment="1" applyProtection="1">
      <x:protection locked="1" hidden="0"/>
    </x:xf>
    <x:xf numFmtId="0" fontId="5" fillId="6" borderId="6" applyNumberFormat="1" applyFill="0" applyBorder="1" applyAlignment="1" applyProtection="1">
      <x:protection locked="1" hidden="0"/>
    </x:xf>
    <x:xf numFmtId="0" fontId="5" fillId="6" borderId="7" applyNumberFormat="1" applyFill="0" applyBorder="1" applyAlignment="1" applyProtection="1">
      <x:protection locked="1" hidden="0"/>
    </x:xf>
    <x:xf numFmtId="202" fontId="5" fillId="6" borderId="7" applyNumberFormat="1" applyFill="0" applyBorder="1" applyAlignment="1" applyProtection="1">
      <x:protection locked="1" hidden="0"/>
    </x:xf>
    <x:xf numFmtId="202" fontId="5" fillId="6" borderId="8" applyNumberFormat="1" applyFill="0" applyBorder="1" applyAlignment="1" applyProtection="1">
      <x:protection locked="1" hidden="0"/>
    </x:xf>
    <x:xf numFmtId="202" fontId="5" fillId="0" borderId="11" applyNumberFormat="1" applyFill="1" applyBorder="1" applyAlignment="1" applyProtection="1">
      <x:protection locked="1" hidden="0"/>
    </x:xf>
    <x:xf numFmtId="0" fontId="6" fillId="12" borderId="0" applyNumberFormat="1" applyFill="0" applyBorder="0" applyAlignment="1" applyProtection="1">
      <x:protection locked="1" hidden="0"/>
    </x:xf>
    <x:xf numFmtId="202" fontId="6" fillId="12" borderId="0" applyNumberFormat="1" applyFill="0" applyBorder="0" applyAlignment="1" applyProtection="1">
      <x:protection locked="1" hidden="0"/>
    </x:xf>
    <x:xf numFmtId="0" fontId="5" fillId="6" borderId="8" applyNumberFormat="1" applyFill="0" applyBorder="1" applyAlignment="1" applyProtection="1">
      <x:protection locked="1" hidden="0"/>
    </x:xf>
    <x:xf numFmtId="0" fontId="5" fillId="10" borderId="6" applyNumberFormat="1" applyFill="0" applyBorder="1" applyAlignment="1" applyProtection="1">
      <x:protection locked="1" hidden="0"/>
    </x:xf>
    <x:xf numFmtId="202" fontId="5" fillId="10" borderId="7" applyNumberFormat="1" applyFill="0" applyBorder="1" applyAlignment="1" applyProtection="1">
      <x:protection locked="1" hidden="0"/>
    </x:xf>
    <x:xf numFmtId="0" fontId="5" fillId="10" borderId="8" applyNumberFormat="1" applyFill="0" applyBorder="1" applyAlignment="1" applyProtection="1">
      <x:protection locked="1" hidden="0"/>
    </x:xf>
    <x:xf numFmtId="0" fontId="5" fillId="13" borderId="0" applyNumberFormat="1" applyFill="0" applyBorder="0" applyAlignment="1" applyProtection="1">
      <x:protection locked="1" hidden="0"/>
    </x:xf>
    <x:xf numFmtId="0" fontId="5" fillId="6" borderId="4" applyNumberFormat="1" applyFill="0" applyBorder="1" applyAlignment="1" applyProtection="1">
      <x:protection locked="1" hidden="0"/>
    </x:xf>
    <x:xf numFmtId="0" fontId="5" fillId="6" borderId="10" applyNumberFormat="1" applyFill="0" applyBorder="1" applyAlignment="1" applyProtection="1">
      <x:protection locked="1" hidden="0"/>
    </x:xf>
    <x:xf numFmtId="0" fontId="8" fillId="8" borderId="0" applyNumberFormat="1" applyFill="0" applyBorder="0" applyAlignment="1" applyProtection="1">
      <x:protection locked="1" hidden="0"/>
    </x:xf>
    <x:xf numFmtId="0" fontId="6" fillId="14" borderId="0" applyNumberFormat="1" applyFill="0" applyBorder="0" applyAlignment="1" applyProtection="1">
      <x:protection locked="1" hidden="0"/>
    </x:xf>
    <x:xf numFmtId="0" fontId="7" fillId="15" borderId="3" applyNumberFormat="1" applyFill="0" applyBorder="1" applyAlignment="1" applyProtection="1">
      <x:protection locked="1" hidden="0"/>
    </x:xf>
    <x:xf numFmtId="0" fontId="5" fillId="15" borderId="5" applyNumberFormat="1" applyFill="0" applyBorder="1" applyAlignment="1" applyProtection="1">
      <x:protection locked="1" hidden="0"/>
    </x:xf>
    <x:xf numFmtId="0" fontId="7" fillId="15" borderId="6" applyNumberFormat="1" applyFill="0" applyBorder="1" applyAlignment="1" applyProtection="1">
      <x:protection locked="1" hidden="0"/>
    </x:xf>
    <x:xf numFmtId="0" fontId="5" fillId="15" borderId="8" applyNumberFormat="1" applyFill="0" applyBorder="1" applyAlignment="1" applyProtection="1">
      <x:protection locked="1" hidden="0"/>
    </x:xf>
    <x:xf numFmtId="0" fontId="7" fillId="15" borderId="9" applyNumberFormat="1" applyFill="0" applyBorder="1" applyAlignment="1" applyProtection="1">
      <x:protection locked="1" hidden="0"/>
    </x:xf>
    <x:xf numFmtId="0" fontId="5" fillId="15" borderId="11" applyNumberFormat="1" applyFill="0" applyBorder="1" applyAlignment="1" applyProtection="1">
      <x:protection locked="1" hidden="0"/>
    </x:xf>
  </x:cellStyleXfs>
  <x:cellXfs count="10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201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0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02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202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6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202" fontId="5" fillId="6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6" fillId="7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02" fontId="6" fillId="7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0" borderId="3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5" fillId="0" borderId="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202" fontId="7" fillId="6" borderId="4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5" fillId="0" borderId="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5" fillId="0" borderId="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5" fillId="0" borderId="7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202" fontId="7" fillId="6" borderId="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5" fillId="0" borderId="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5" fillId="0" borderId="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5" fillId="0" borderId="1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202" fontId="7" fillId="6" borderId="10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5" fillId="0" borderId="1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5" fillId="8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5" fillId="9" borderId="3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5" fillId="9" borderId="4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202" fontId="5" fillId="0" borderId="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5" fillId="10" borderId="4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5" fillId="9" borderId="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5" fillId="9" borderId="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202" fontId="5" fillId="0" borderId="7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5" fillId="10" borderId="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5" fillId="9" borderId="9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5" fillId="9" borderId="10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202" fontId="5" fillId="0" borderId="1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5" fillId="10" borderId="10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7" fillId="9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11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02" fontId="5" fillId="0" borderId="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202" fontId="5" fillId="0" borderId="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5" fillId="6" borderId="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5" fillId="6" borderId="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202" fontId="5" fillId="6" borderId="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202" fontId="5" fillId="6" borderId="8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202" fontId="5" fillId="0" borderId="1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6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202" fontId="6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6" borderId="8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5" fillId="10" borderId="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202" fontId="5" fillId="10" borderId="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5" fillId="10" borderId="8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5" fillId="1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5" fillId="6" borderId="4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5" fillId="6" borderId="10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8" fillId="8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6" fillId="1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1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15" borderId="3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5" fillId="15" borderId="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7" fillId="15" borderId="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5" fillId="15" borderId="8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7" fillId="15" borderId="9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5" fillId="15" borderId="1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2">
    <x:cellStyle name="Normal" xfId="0"/>
    <x:cellStyle name="Normal" xfId="1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7c68c7838a4f6c" /><Relationship Type="http://schemas.openxmlformats.org/officeDocument/2006/relationships/theme" Target="/xl/theme/theme1.xml" Id="R7c1415cc507f4d12" /><Relationship Type="http://schemas.openxmlformats.org/officeDocument/2006/relationships/sharedStrings" Target="/xl/sharedStrings.xml" Id="Rea2e194c63f44d04" /><Relationship Type="http://schemas.openxmlformats.org/officeDocument/2006/relationships/worksheet" Target="/xl/worksheets/sheet1.xml" Id="R92da5c6161f7484f" /><Relationship Type="http://schemas.openxmlformats.org/officeDocument/2006/relationships/worksheet" Target="/xl/worksheets/sheet2.xml" Id="rId6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Relationship Type="http://schemas.openxmlformats.org/officeDocument/2006/relationships/worksheet" Target="/xl/worksheets/sheet5.xml" Id="rId9" /><Relationship Type="http://schemas.openxmlformats.org/officeDocument/2006/relationships/worksheet" Target="/xl/worksheets/sheet6.xml" Id="rId10" /><Relationship Type="http://schemas.openxmlformats.org/officeDocument/2006/relationships/worksheet" Target="/xl/worksheets/sheet7.xml" Id="rId11" /><Relationship Type="http://schemas.openxmlformats.org/officeDocument/2006/relationships/calcChain" Target="/xl/calcChain.xml" Id="rId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x:sheetPr>
    <x:tabColor rgb="FF808080"/>
    <x:outlinePr summaryBelow="1" summaryRight="1"/>
  </x:sheetPr>
  <x:dimension ref="A1:Q120"/>
  <x:sheetViews>
    <x:sheetView workbookViewId="0"/>
  </x:sheetViews>
  <x:sheetFormatPr defaultRowHeight="15"/>
  <x:cols>
    <x:col min="1" max="1" width="22" style="0" customWidth="1"/>
    <x:col min="2" max="3" width="14" style="0" customWidth="1"/>
    <x:col min="4" max="4" width="12" style="0" customWidth="1"/>
    <x:col min="5" max="5" width="28" style="0" customWidth="1"/>
    <x:col min="6" max="16" width="16" style="0" customWidth="1"/>
    <x:col min="17" max="17" width="26" style="0" customWidth="1"/>
  </x:cols>
  <x:sheetData>
    <x:row r="1" spans="1:17" ht="172.800003" customHeight="1">
      <x:c r="A1" s="42" t="s">
        <x:v>0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</x:row>
    <x:row r="2" spans="1:17" ht="21.6" customHeight="1">
      <x:c r="A2" s="44"/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</x:row>
    <x:row r="3" spans="1:17" ht="15" customHeight="1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</x:row>
    <x:row r="4" spans="1:17" ht="28.799999" customHeight="1">
      <x:c r="A4" s="46" t="s">
        <x:v>1</x:v>
      </x:c>
      <x:c r="B4" s="46"/>
      <x:c r="C4" s="46"/>
      <x:c r="D4" s="46"/>
      <x:c r="E4" s="46"/>
      <x:c r="F4" s="46"/>
      <x:c r="G4" s="46"/>
      <x:c r="H4" s="46"/>
      <x:c r="I4" s="46"/>
      <x:c r="J4" s="46"/>
      <x:c r="K4" s="46"/>
      <x:c r="L4" s="46"/>
      <x:c r="M4" s="46"/>
      <x:c r="N4" s="46"/>
      <x:c r="O4" s="46"/>
      <x:c r="P4" s="46"/>
      <x:c r="Q4" s="46"/>
    </x:row>
    <x:row r="5" spans="1:17" ht="15" customHeight="1">
      <x:c r="A5" s="47" t="s">
        <x:v>2</x:v>
      </x:c>
      <x:c r="B5" s="47" t="s">
        <x:v>3</x:v>
      </x:c>
      <x:c r="C5" s="47" t="s">
        <x:v>4</x:v>
      </x:c>
      <x:c r="D5" s="47" t="s">
        <x:v>5</x:v>
      </x:c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45"/>
    </x:row>
    <x:row r="6" spans="1:17" ht="145.199997" customHeight="1">
      <x:c r="A6" s="48" t="s">
        <x:v>6</x:v>
      </x:c>
      <x:c r="B6" s="48" t="s">
        <x:v>7</x:v>
      </x:c>
      <x:c r="C6" s="48" t="s">
        <x:v>8</x:v>
      </x:c>
      <x:c r="D6" s="48" t="s">
        <x:v>9</x:v>
      </x:c>
      <x:c r="E6" s="45"/>
      <x:c r="F6" s="45"/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</x:row>
    <x:row r="7" spans="1:17" ht="118.800003" customHeight="1">
      <x:c r="A7" s="48" t="s">
        <x:v>10</x:v>
      </x:c>
      <x:c r="B7" s="48" t="s">
        <x:v>11</x:v>
      </x:c>
      <x:c r="C7" s="48" t="s">
        <x:v>12</x:v>
      </x:c>
      <x:c r="D7" s="48" t="s">
        <x:v>13</x:v>
      </x:c>
      <x:c r="E7" s="45"/>
      <x:c r="F7" s="45"/>
      <x:c r="G7" s="45"/>
      <x:c r="H7" s="45"/>
      <x:c r="I7" s="45"/>
      <x:c r="J7" s="45"/>
      <x:c r="K7" s="45"/>
      <x:c r="L7" s="45"/>
      <x:c r="M7" s="45"/>
      <x:c r="N7" s="45"/>
      <x:c r="O7" s="45"/>
      <x:c r="P7" s="45"/>
      <x:c r="Q7" s="45"/>
    </x:row>
    <x:row r="8" spans="1:17" ht="79.199997" customHeight="1">
      <x:c r="A8" s="48" t="s">
        <x:v>14</x:v>
      </x:c>
      <x:c r="B8" s="48" t="s">
        <x:v>15</x:v>
      </x:c>
      <x:c r="C8" s="48" t="s">
        <x:v>16</x:v>
      </x:c>
      <x:c r="D8" s="48" t="s">
        <x:v>17</x:v>
      </x:c>
      <x:c r="E8" s="45"/>
      <x:c r="F8" s="45"/>
      <x:c r="G8" s="45"/>
      <x:c r="H8" s="45"/>
      <x:c r="I8" s="45"/>
      <x:c r="J8" s="45"/>
      <x:c r="K8" s="45"/>
      <x:c r="L8" s="45"/>
      <x:c r="M8" s="45"/>
      <x:c r="N8" s="45"/>
      <x:c r="O8" s="45"/>
      <x:c r="P8" s="45"/>
      <x:c r="Q8" s="45"/>
    </x:row>
    <x:row r="9" spans="1:17" ht="79.199997" customHeight="1">
      <x:c r="A9" s="48" t="s">
        <x:v>18</x:v>
      </x:c>
      <x:c r="B9" s="48" t="s">
        <x:v>19</x:v>
      </x:c>
      <x:c r="C9" s="48" t="s">
        <x:v>16</x:v>
      </x:c>
      <x:c r="D9" s="48" t="s">
        <x:v>20</x:v>
      </x:c>
      <x:c r="E9" s="45"/>
      <x:c r="F9" s="45"/>
      <x:c r="G9" s="45"/>
      <x:c r="H9" s="45"/>
      <x:c r="I9" s="45"/>
      <x:c r="J9" s="45"/>
      <x:c r="K9" s="45"/>
      <x:c r="L9" s="45"/>
      <x:c r="M9" s="45"/>
      <x:c r="N9" s="45"/>
      <x:c r="O9" s="45"/>
      <x:c r="P9" s="45"/>
      <x:c r="Q9" s="45"/>
    </x:row>
    <x:row r="10" spans="1:17" ht="105.599998" customHeight="1">
      <x:c r="A10" s="48" t="s">
        <x:v>21</x:v>
      </x:c>
      <x:c r="B10" s="48" t="s">
        <x:v>22</x:v>
      </x:c>
      <x:c r="C10" s="48" t="s">
        <x:v>16</x:v>
      </x:c>
      <x:c r="D10" s="48" t="s">
        <x:v>23</x:v>
      </x:c>
      <x:c r="E10" s="45"/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</x:row>
    <x:row r="11" spans="1:17" ht="92.400002" customHeight="1">
      <x:c r="A11" s="48" t="s">
        <x:v>24</x:v>
      </x:c>
      <x:c r="B11" s="48" t="s">
        <x:v>25</x:v>
      </x:c>
      <x:c r="C11" s="48" t="s">
        <x:v>12</x:v>
      </x:c>
      <x:c r="D11" s="48" t="s">
        <x:v>26</x:v>
      </x:c>
      <x:c r="E11" s="45"/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</x:row>
    <x:row r="12" spans="1:17" ht="15" customHeight="1">
      <x:c r="A12" s="45"/>
      <x:c r="B12" s="45"/>
      <x:c r="C12" s="45"/>
      <x:c r="D12" s="45"/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</x:row>
    <x:row r="13" spans="1:17" ht="43.200001" customHeight="1">
      <x:c r="A13" s="46" t="s">
        <x:v>27</x:v>
      </x:c>
      <x:c r="B13" s="46"/>
      <x:c r="C13" s="46"/>
      <x:c r="D13" s="46"/>
      <x:c r="E13" s="46"/>
      <x:c r="F13" s="46"/>
      <x:c r="G13" s="46"/>
      <x:c r="H13" s="46"/>
      <x:c r="I13" s="46"/>
      <x:c r="J13" s="46"/>
      <x:c r="K13" s="46"/>
      <x:c r="L13" s="46"/>
      <x:c r="M13" s="46"/>
      <x:c r="N13" s="46"/>
      <x:c r="O13" s="46"/>
      <x:c r="P13" s="46"/>
      <x:c r="Q13" s="46"/>
    </x:row>
    <x:row r="14" spans="1:17" ht="15" customHeight="1">
      <x:c r="A14" s="47" t="s">
        <x:v>2</x:v>
      </x:c>
      <x:c r="B14" s="47" t="s">
        <x:v>28</x:v>
      </x:c>
      <x:c r="C14" s="47" t="s">
        <x:v>29</x:v>
      </x:c>
      <x:c r="D14" s="47" t="s">
        <x:v>4</x:v>
      </x:c>
      <x:c r="E14" s="47" t="s">
        <x:v>30</x:v>
      </x:c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</x:row>
    <x:row r="15" spans="1:17" ht="39.599998" customHeight="1">
      <x:c r="A15" s="48" t="s">
        <x:v>31</x:v>
      </x:c>
      <x:c r="B15" s="48">
        <x:v>1500</x:v>
      </x:c>
      <x:c r="C15" s="48">
        <x:v>925</x:v>
      </x:c>
      <x:c r="D15" s="48" t="s">
        <x:v>16</x:v>
      </x:c>
      <x:c r="E15" s="48" t="s">
        <x:v>32</x:v>
      </x:c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</x:row>
    <x:row r="16" spans="1:17" ht="52.799999" customHeight="1">
      <x:c r="A16" s="48" t="s">
        <x:v>33</x:v>
      </x:c>
      <x:c r="B16" s="48">
        <x:v>55</x:v>
      </x:c>
      <x:c r="C16" s="48">
        <x:v>45</x:v>
      </x:c>
      <x:c r="D16" s="48" t="s">
        <x:v>16</x:v>
      </x:c>
      <x:c r="E16" s="48" t="s">
        <x:v>34</x:v>
      </x:c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</x:row>
    <x:row r="17" spans="1:17" ht="39.599998" customHeight="1">
      <x:c r="A17" s="48" t="s">
        <x:v>35</x:v>
      </x:c>
      <x:c r="B17" s="48">
        <x:v>105</x:v>
      </x:c>
      <x:c r="C17" s="48">
        <x:v>1200</x:v>
      </x:c>
      <x:c r="D17" s="48" t="s">
        <x:v>16</x:v>
      </x:c>
      <x:c r="E17" s="48" t="s">
        <x:v>36</x:v>
      </x:c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</x:row>
    <x:row r="18" spans="1:17" ht="15" customHeight="1">
      <x:c r="A18" s="48" t="s">
        <x:v>37</x:v>
      </x:c>
      <x:c r="B18" s="48">
        <x:v>1224</x:v>
      </x:c>
      <x:c r="C18" s="48">
        <x:v>1024</x:v>
      </x:c>
      <x:c r="D18" s="48" t="s">
        <x:v>38</x:v>
      </x:c>
      <x:c r="E18" s="48" t="s">
        <x:v>39</x:v>
      </x:c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</x:row>
    <x:row r="19" spans="1:17" ht="39.599998" customHeight="1">
      <x:c r="A19" s="48" t="s">
        <x:v>40</x:v>
      </x:c>
      <x:c r="B19" s="48">
        <x:v>0.00345</x:v>
      </x:c>
      <x:c r="C19" s="48">
        <x:v>0.00345</x:v>
      </x:c>
      <x:c r="D19" s="48" t="s">
        <x:v>41</x:v>
      </x:c>
      <x:c r="E19" s="48" t="s">
        <x:v>42</x:v>
      </x:c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</x:row>
    <x:row r="20" spans="1:17" ht="39.599998" customHeight="1">
      <x:c r="A20" s="48" t="s">
        <x:v>43</x:v>
      </x:c>
      <x:c r="B20" s="48">
        <x:v>0.05</x:v>
      </x:c>
      <x:c r="C20" s="48" t="s">
        <x:v>44</x:v>
      </x:c>
      <x:c r="D20" s="48" t="s">
        <x:v>12</x:v>
      </x:c>
      <x:c r="E20" s="48" t="s">
        <x:v>45</x:v>
      </x:c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</x:row>
    <x:row r="21" spans="1:17" ht="52.799999" customHeight="1">
      <x:c r="A21" s="48" t="s">
        <x:v>46</x:v>
      </x:c>
      <x:c r="B21" s="48" t="s">
        <x:v>47</x:v>
      </x:c>
      <x:c r="C21" s="48" t="s">
        <x:v>44</x:v>
      </x:c>
      <x:c r="D21" s="48" t="s">
        <x:v>16</x:v>
      </x:c>
      <x:c r="E21" s="48" t="s">
        <x:v>48</x:v>
      </x:c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</x:row>
    <x:row r="22" spans="1:17" ht="15" customHeight="1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</x:row>
    <x:row r="23" spans="1:17" ht="15" customHeight="1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</x:row>
    <x:row r="24" spans="1:17" ht="57.599998" customHeight="1">
      <x:c r="A24" s="46" t="s">
        <x:v>49</x:v>
      </x:c>
      <x:c r="B24" s="46"/>
      <x:c r="C24" s="46"/>
      <x:c r="D24" s="46"/>
      <x:c r="E24" s="46"/>
      <x:c r="F24" s="46"/>
      <x:c r="G24" s="46"/>
      <x:c r="H24" s="46"/>
      <x:c r="I24" s="46"/>
      <x:c r="J24" s="46"/>
      <x:c r="K24" s="46"/>
      <x:c r="L24" s="46"/>
      <x:c r="M24" s="46"/>
      <x:c r="N24" s="46"/>
      <x:c r="O24" s="46"/>
      <x:c r="P24" s="46"/>
      <x:c r="Q24" s="46"/>
    </x:row>
    <x:row r="25" spans="1:17" ht="15" customHeight="1">
      <x:c r="A25" s="47" t="s">
        <x:v>50</x:v>
      </x:c>
      <x:c r="B25" s="47" t="s">
        <x:v>51</x:v>
      </x:c>
      <x:c r="C25" s="47" t="s">
        <x:v>52</x:v>
      </x:c>
      <x:c r="D25" s="47" t="s">
        <x:v>4</x:v>
      </x:c>
      <x:c r="E25" s="47" t="s">
        <x:v>30</x:v>
      </x:c>
      <x:c r="F25" s="47"/>
      <x:c r="G25" s="47" t="s">
        <x:v>53</x:v>
      </x:c>
      <x:c r="H25" s="47" t="s">
        <x:v>44</x:v>
      </x:c>
      <x:c r="I25" s="47"/>
      <x:c r="J25" s="47" t="s">
        <x:v>54</x:v>
      </x:c>
      <x:c r="K25" s="47"/>
      <x:c r="L25" s="47" t="s">
        <x:v>55</x:v>
      </x:c>
      <x:c r="M25" s="47" t="s">
        <x:v>56</x:v>
      </x:c>
      <x:c r="N25" s="45"/>
      <x:c r="O25" s="45"/>
      <x:c r="P25" s="45"/>
      <x:c r="Q25" s="45"/>
    </x:row>
    <x:row r="26" spans="1:17" ht="26.4" customHeight="1">
      <x:c r="A26" s="48" t="s">
        <x:v>57</x:v>
      </x:c>
      <x:c r="B26" s="48">
        <x:v>1282</x:v>
      </x:c>
      <x:c r="C26" s="48">
        <x:v>1053</x:v>
      </x:c>
      <x:c r="D26" s="48" t="s">
        <x:v>38</x:v>
      </x:c>
      <x:c r="E26" s="48" t="s">
        <x:v>58</x:v>
      </x:c>
      <x:c r="F26" s="48"/>
      <x:c r="G26" s="48">
        <x:f>$B$19</x:f>
      </x:c>
      <x:c r="H26" s="48">
        <x:v>0</x:v>
      </x:c>
      <x:c r="I26" s="48"/>
      <x:c r="J26" s="48">
        <x:f>B27</x:f>
      </x:c>
      <x:c r="K26" s="48"/>
      <x:c r="L26" s="48" t="s">
        <x:v>59</x:v>
      </x:c>
      <x:c r="M26" s="48">
        <x:f>B30</x:f>
      </x:c>
      <x:c r="N26" s="45"/>
      <x:c r="O26" s="45"/>
      <x:c r="P26" s="45"/>
      <x:c r="Q26" s="45"/>
    </x:row>
    <x:row r="27" spans="1:17" ht="15" customHeight="1">
      <x:c r="A27" s="48" t="s">
        <x:v>60</x:v>
      </x:c>
      <x:c r="B27" s="48">
        <x:f>B26-$B$18</x:f>
      </x:c>
      <x:c r="C27" s="48">
        <x:f>C26-$C$18</x:f>
      </x:c>
      <x:c r="D27" s="48" t="s">
        <x:v>38</x:v>
      </x:c>
      <x:c r="E27" s="48" t="s">
        <x:v>61</x:v>
      </x:c>
      <x:c r="F27" s="48"/>
      <x:c r="G27" s="48">
        <x:v>0</x:v>
      </x:c>
      <x:c r="H27" s="48">
        <x:f>$C$19</x:f>
      </x:c>
      <x:c r="I27" s="48"/>
      <x:c r="J27" s="48">
        <x:f>C27</x:f>
      </x:c>
      <x:c r="K27" s="48"/>
      <x:c r="L27" s="48" t="s">
        <x:v>62</x:v>
      </x:c>
      <x:c r="M27" s="48">
        <x:f>C30</x:f>
      </x:c>
      <x:c r="N27" s="45"/>
      <x:c r="O27" s="45"/>
      <x:c r="P27" s="45"/>
      <x:c r="Q27" s="45"/>
    </x:row>
    <x:row r="28" spans="1:17" ht="15" customHeight="1">
      <x:c r="A28" s="48" t="s">
        <x:v>63</x:v>
      </x:c>
      <x:c r="B28" s="48">
        <x:f>$B$17</x:f>
      </x:c>
      <x:c r="C28" s="48">
        <x:f>$C$17</x:f>
      </x:c>
      <x:c r="D28" s="48" t="s">
        <x:v>16</x:v>
      </x:c>
      <x:c r="E28" s="48" t="s">
        <x:v>64</x:v>
      </x:c>
      <x:c r="F28" s="48"/>
      <x:c r="G28" s="48"/>
      <x:c r="H28" s="48"/>
      <x:c r="I28" s="48"/>
      <x:c r="J28" s="48"/>
      <x:c r="K28" s="48"/>
      <x:c r="L28" s="48" t="s">
        <x:v>65</x:v>
      </x:c>
      <x:c r="M28" s="48" t="s">
        <x:v>66</x:v>
      </x:c>
      <x:c r="N28" s="45"/>
      <x:c r="O28" s="45"/>
      <x:c r="P28" s="45"/>
      <x:c r="Q28" s="45"/>
    </x:row>
    <x:row r="29" spans="1:17" ht="15" customHeight="1">
      <x:c r="A29" s="48" t="s">
        <x:v>67</x:v>
      </x:c>
      <x:c r="B29" s="48">
        <x:f>INDEX(MMULT($G$26:$H$27,$J$26:$J$27),1,1)</x:f>
      </x:c>
      <x:c r="C29" s="48">
        <x:f>INDEX(MMULT($G$26:$H$27,$J$26:$J$27),2,1)</x:f>
      </x:c>
      <x:c r="D29" s="48" t="s">
        <x:v>16</x:v>
      </x:c>
      <x:c r="E29" s="48" t="s">
        <x:v>68</x:v>
      </x:c>
      <x:c r="F29" s="48"/>
      <x:c r="G29" s="48"/>
      <x:c r="H29" s="48"/>
      <x:c r="I29" s="48"/>
      <x:c r="J29" s="48"/>
      <x:c r="K29" s="48"/>
      <x:c r="L29" s="48"/>
      <x:c r="M29" s="48"/>
      <x:c r="N29" s="45"/>
      <x:c r="O29" s="45"/>
      <x:c r="P29" s="45"/>
      <x:c r="Q29" s="45"/>
    </x:row>
    <x:row r="30" spans="1:17" ht="26.4" customHeight="1">
      <x:c r="A30" s="48" t="s">
        <x:v>69</x:v>
      </x:c>
      <x:c r="B30" s="48">
        <x:f>B28+B29</x:f>
      </x:c>
      <x:c r="C30" s="48">
        <x:f>C28+C29</x:f>
      </x:c>
      <x:c r="D30" s="48" t="s">
        <x:v>16</x:v>
      </x:c>
      <x:c r="E30" s="48" t="s">
        <x:v>70</x:v>
      </x:c>
      <x:c r="F30" s="48"/>
      <x:c r="G30" s="48"/>
      <x:c r="H30" s="48"/>
      <x:c r="I30" s="48"/>
      <x:c r="J30" s="48"/>
      <x:c r="K30" s="48"/>
      <x:c r="L30" s="48"/>
      <x:c r="M30" s="48"/>
      <x:c r="N30" s="45"/>
      <x:c r="O30" s="45"/>
      <x:c r="P30" s="45"/>
      <x:c r="Q30" s="45"/>
    </x:row>
    <x:row r="31" spans="1:17" ht="26.4" customHeight="1">
      <x:c r="A31" s="48" t="s">
        <x:v>5</x:v>
      </x:c>
      <x:c r="B31" s="48" t="s">
        <x:v>71</x:v>
      </x:c>
      <x:c r="C31" s="48" t="s">
        <x:v>72</x:v>
      </x:c>
      <x:c r="D31" s="48" t="s">
        <x:v>16</x:v>
      </x:c>
      <x:c r="E31" s="48" t="s">
        <x:v>73</x:v>
      </x:c>
      <x:c r="F31" s="48"/>
      <x:c r="G31" s="48"/>
      <x:c r="H31" s="48"/>
      <x:c r="I31" s="48"/>
      <x:c r="J31" s="48"/>
      <x:c r="K31" s="48"/>
      <x:c r="L31" s="48"/>
      <x:c r="M31" s="48"/>
      <x:c r="N31" s="45"/>
      <x:c r="O31" s="45"/>
      <x:c r="P31" s="45"/>
      <x:c r="Q31" s="45"/>
    </x:row>
    <x:row r="32" spans="1:17" ht="15" customHeight="1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</x:row>
    <x:row r="33" spans="1:17" ht="57.599998" customHeight="1">
      <x:c r="A33" s="46" t="s">
        <x:v>74</x:v>
      </x:c>
      <x:c r="B33" s="46"/>
      <x:c r="C33" s="46"/>
      <x:c r="D33" s="46"/>
      <x:c r="E33" s="46"/>
      <x:c r="F33" s="46"/>
      <x:c r="G33" s="46"/>
      <x:c r="H33" s="46"/>
      <x:c r="I33" s="46"/>
      <x:c r="J33" s="46"/>
      <x:c r="K33" s="46"/>
      <x:c r="L33" s="46"/>
      <x:c r="M33" s="46"/>
      <x:c r="N33" s="46"/>
      <x:c r="O33" s="46"/>
      <x:c r="P33" s="46"/>
      <x:c r="Q33" s="46"/>
    </x:row>
    <x:row r="34" spans="1:17" ht="15" customHeight="1">
      <x:c r="A34" s="47" t="s">
        <x:v>75</x:v>
      </x:c>
      <x:c r="B34" s="47" t="s">
        <x:v>76</x:v>
      </x:c>
      <x:c r="C34" s="47" t="s">
        <x:v>77</x:v>
      </x:c>
      <x:c r="D34" s="47" t="s">
        <x:v>78</x:v>
      </x:c>
      <x:c r="E34" s="47" t="s">
        <x:v>79</x:v>
      </x:c>
      <x:c r="F34" s="47" t="s">
        <x:v>80</x:v>
      </x:c>
      <x:c r="G34" s="47" t="s">
        <x:v>81</x:v>
      </x:c>
      <x:c r="H34" s="47" t="s">
        <x:v>82</x:v>
      </x:c>
      <x:c r="I34" s="47" t="s">
        <x:v>83</x:v>
      </x:c>
      <x:c r="J34" s="47" t="s">
        <x:v>4</x:v>
      </x:c>
      <x:c r="K34" s="45"/>
      <x:c r="L34" s="45" t="s">
        <x:v>84</x:v>
      </x:c>
      <x:c r="M34" s="45" t="s">
        <x:v>44</x:v>
      </x:c>
      <x:c r="N34" s="45"/>
      <x:c r="O34" s="45" t="s">
        <x:v>30</x:v>
      </x:c>
      <x:c r="P34" s="45" t="s">
        <x:v>56</x:v>
      </x:c>
      <x:c r="Q34" s="45" t="s">
        <x:v>4</x:v>
      </x:c>
    </x:row>
    <x:row r="35" spans="1:17" ht="26.4" customHeight="1">
      <x:c r="A35" s="48" t="s">
        <x:v>85</x:v>
      </x:c>
      <x:c r="B35" s="48" t="s">
        <x:v>86</x:v>
      </x:c>
      <x:c r="C35" s="48" t="s">
        <x:v>87</x:v>
      </x:c>
      <x:c r="D35" s="48">
        <x:v>0</x:v>
      </x:c>
      <x:c r="E35" s="48">
        <x:v>0</x:v>
      </x:c>
      <x:c r="F35" s="48">
        <x:f>INDEX(MMULT($L$35:$M$36,TRANSPOSE(D35:E35)),1,1)</x:f>
      </x:c>
      <x:c r="G35" s="48">
        <x:f>INDEX(MMULT($L$35:$M$36,TRANSPOSE(D35:E35)),2,1)</x:f>
      </x:c>
      <x:c r="H35" s="48">
        <x:f>$B$30+F35</x:f>
      </x:c>
      <x:c r="I35" s="48">
        <x:f>$C$30+G35</x:f>
      </x:c>
      <x:c r="J35" s="48" t="s">
        <x:v>16</x:v>
      </x:c>
      <x:c r="K35" s="48"/>
      <x:c r="L35" s="48">
        <x:f>COS(RADIANS($B$20))</x:f>
      </x:c>
      <x:c r="M35" s="48">
        <x:f>-SIN(RADIANS($B$20))</x:f>
      </x:c>
      <x:c r="N35" s="48"/>
      <x:c r="O35" s="48" t="s">
        <x:v>88</x:v>
      </x:c>
      <x:c r="P35" s="48" t="s">
        <x:v>89</x:v>
      </x:c>
      <x:c r="Q35" s="48" t="s">
        <x:v>16</x:v>
      </x:c>
    </x:row>
    <x:row r="36" spans="1:17" ht="26.4" customHeight="1">
      <x:c r="A36" s="48" t="s">
        <x:v>90</x:v>
      </x:c>
      <x:c r="B36" s="48" t="s">
        <x:v>91</x:v>
      </x:c>
      <x:c r="C36" s="48" t="s">
        <x:v>92</x:v>
      </x:c>
      <x:c r="D36" s="48">
        <x:v>0</x:v>
      </x:c>
      <x:c r="E36" s="48">
        <x:f>$C$15-2*$C$16</x:f>
      </x:c>
      <x:c r="F36" s="48">
        <x:f>INDEX(MMULT($L$35:$M$36,TRANSPOSE(D36:E36)),1,1)</x:f>
      </x:c>
      <x:c r="G36" s="48">
        <x:f>INDEX(MMULT($L$35:$M$36,TRANSPOSE(D36:E36)),2,1)</x:f>
      </x:c>
      <x:c r="H36" s="48">
        <x:f>$B$30+F36</x:f>
      </x:c>
      <x:c r="I36" s="48">
        <x:f>$C$30+G36</x:f>
      </x:c>
      <x:c r="J36" s="48" t="s">
        <x:v>16</x:v>
      </x:c>
      <x:c r="K36" s="48"/>
      <x:c r="L36" s="48">
        <x:f>SIN(RADIANS($B$20))</x:f>
      </x:c>
      <x:c r="M36" s="48">
        <x:f>COS(RADIANS($B$20))</x:f>
      </x:c>
      <x:c r="N36" s="48"/>
      <x:c r="O36" s="48" t="s">
        <x:v>93</x:v>
      </x:c>
      <x:c r="P36" s="48" t="s">
        <x:v>94</x:v>
      </x:c>
      <x:c r="Q36" s="48" t="s">
        <x:v>16</x:v>
      </x:c>
    </x:row>
    <x:row r="37" spans="1:17" ht="26.4" customHeight="1">
      <x:c r="A37" s="48" t="s">
        <x:v>95</x:v>
      </x:c>
      <x:c r="B37" s="48" t="s">
        <x:v>96</x:v>
      </x:c>
      <x:c r="C37" s="48" t="s">
        <x:v>97</x:v>
      </x:c>
      <x:c r="D37" s="48">
        <x:f>$B$15-2*$B$16</x:f>
      </x:c>
      <x:c r="E37" s="48">
        <x:v>0</x:v>
      </x:c>
      <x:c r="F37" s="48">
        <x:f>INDEX(MMULT($L$35:$M$36,TRANSPOSE(D37:E37)),1,1)</x:f>
      </x:c>
      <x:c r="G37" s="48">
        <x:f>INDEX(MMULT($L$35:$M$36,TRANSPOSE(D37:E37)),2,1)</x:f>
      </x:c>
      <x:c r="H37" s="48">
        <x:f>$B$30+F37</x:f>
      </x:c>
      <x:c r="I37" s="48">
        <x:f>$C$30+G37</x:f>
      </x:c>
      <x:c r="J37" s="48" t="s">
        <x:v>16</x:v>
      </x:c>
      <x:c r="K37" s="48"/>
      <x:c r="L37" s="48"/>
      <x:c r="M37" s="48"/>
      <x:c r="N37" s="48"/>
      <x:c r="O37" s="48" t="s">
        <x:v>98</x:v>
      </x:c>
      <x:c r="P37" s="48" t="s">
        <x:v>99</x:v>
      </x:c>
      <x:c r="Q37" s="48" t="s">
        <x:v>16</x:v>
      </x:c>
    </x:row>
    <x:row r="38" spans="1:17" ht="26.4" customHeight="1">
      <x:c r="A38" s="48" t="s">
        <x:v>100</x:v>
      </x:c>
      <x:c r="B38" s="48" t="s">
        <x:v>101</x:v>
      </x:c>
      <x:c r="C38" s="48" t="s">
        <x:v>102</x:v>
      </x:c>
      <x:c r="D38" s="48">
        <x:f>$B$15-2*$B$16</x:f>
      </x:c>
      <x:c r="E38" s="48">
        <x:f>$C$15-2*$C$16</x:f>
      </x:c>
      <x:c r="F38" s="48">
        <x:f>INDEX(MMULT($L$35:$M$36,TRANSPOSE(D38:E38)),1,1)</x:f>
      </x:c>
      <x:c r="G38" s="48">
        <x:f>INDEX(MMULT($L$35:$M$36,TRANSPOSE(D38:E38)),2,1)</x:f>
      </x:c>
      <x:c r="H38" s="48">
        <x:f>$B$30+F38</x:f>
      </x:c>
      <x:c r="I38" s="48">
        <x:f>$C$30+G38</x:f>
      </x:c>
      <x:c r="J38" s="48" t="s">
        <x:v>16</x:v>
      </x:c>
      <x:c r="K38" s="48"/>
      <x:c r="L38" s="48"/>
      <x:c r="M38" s="48"/>
      <x:c r="N38" s="48"/>
      <x:c r="O38" s="48" t="s">
        <x:v>103</x:v>
      </x:c>
      <x:c r="P38" s="48" t="s">
        <x:v>104</x:v>
      </x:c>
      <x:c r="Q38" s="48" t="s">
        <x:v>16</x:v>
      </x:c>
    </x:row>
    <x:row r="39" spans="1:17" ht="15" customHeight="1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</x:row>
    <x:row r="40" spans="1:17" ht="57.599998" customHeight="1">
      <x:c r="A40" s="46" t="s">
        <x:v>105</x:v>
      </x:c>
      <x:c r="B40" s="46"/>
      <x:c r="C40" s="46"/>
      <x:c r="D40" s="46"/>
      <x:c r="E40" s="46"/>
      <x:c r="F40" s="46"/>
      <x:c r="G40" s="46"/>
      <x:c r="H40" s="46"/>
      <x:c r="I40" s="46"/>
      <x:c r="J40" s="46"/>
      <x:c r="K40" s="46"/>
      <x:c r="L40" s="46"/>
      <x:c r="M40" s="46"/>
      <x:c r="N40" s="46"/>
      <x:c r="O40" s="46"/>
      <x:c r="P40" s="46"/>
      <x:c r="Q40" s="46"/>
    </x:row>
    <x:row r="41" spans="1:17" ht="15" customHeight="1">
      <x:c r="A41" s="47" t="s">
        <x:v>50</x:v>
      </x:c>
      <x:c r="B41" s="47" t="s">
        <x:v>106</x:v>
      </x:c>
      <x:c r="C41" s="47" t="s">
        <x:v>107</x:v>
      </x:c>
      <x:c r="D41" s="47" t="s">
        <x:v>4</x:v>
      </x:c>
      <x:c r="E41" s="47" t="s">
        <x:v>30</x:v>
      </x:c>
      <x:c r="F41" s="47"/>
      <x:c r="G41" s="47" t="s">
        <x:v>108</x:v>
      </x:c>
      <x:c r="H41" s="47" t="s">
        <x:v>106</x:v>
      </x:c>
      <x:c r="I41" s="47" t="s">
        <x:v>107</x:v>
      </x:c>
      <x:c r="J41" s="45"/>
      <x:c r="K41" s="45"/>
      <x:c r="L41" s="45"/>
      <x:c r="M41" s="45"/>
      <x:c r="N41" s="45"/>
      <x:c r="O41" s="45"/>
      <x:c r="P41" s="45"/>
      <x:c r="Q41" s="45"/>
    </x:row>
    <x:row r="42" spans="1:17" ht="15" customHeight="1">
      <x:c r="A42" s="48" t="s">
        <x:v>109</x:v>
      </x:c>
      <x:c r="B42" s="48">
        <x:v>50</x:v>
      </x:c>
      <x:c r="C42" s="48">
        <x:v>35</x:v>
      </x:c>
      <x:c r="D42" s="48" t="s">
        <x:v>16</x:v>
      </x:c>
      <x:c r="E42" s="48" t="s">
        <x:v>110</x:v>
      </x:c>
      <x:c r="F42" s="48"/>
      <x:c r="G42" s="48" t="s">
        <x:v>111</x:v>
      </x:c>
      <x:c r="H42" s="48">
        <x:f>B46</x:f>
      </x:c>
      <x:c r="I42" s="48">
        <x:f>C46</x:f>
      </x:c>
      <x:c r="J42" s="45"/>
      <x:c r="K42" s="45"/>
      <x:c r="L42" s="45"/>
      <x:c r="M42" s="45"/>
      <x:c r="N42" s="45"/>
      <x:c r="O42" s="45"/>
      <x:c r="P42" s="45"/>
      <x:c r="Q42" s="45"/>
    </x:row>
    <x:row r="43" spans="1:17" ht="15" customHeight="1">
      <x:c r="A43" s="48" t="s">
        <x:v>112</x:v>
      </x:c>
      <x:c r="B43" s="48">
        <x:v>14</x:v>
      </x:c>
      <x:c r="C43" s="48">
        <x:v>9</x:v>
      </x:c>
      <x:c r="D43" s="48" t="s">
        <x:v>8</x:v>
      </x:c>
      <x:c r="E43" s="48" t="s">
        <x:v>113</x:v>
      </x:c>
      <x:c r="F43" s="48"/>
      <x:c r="G43" s="48" t="s">
        <x:v>114</x:v>
      </x:c>
      <x:c r="H43" s="48">
        <x:f>B47</x:f>
      </x:c>
      <x:c r="I43" s="48">
        <x:f>C47</x:f>
      </x:c>
      <x:c r="J43" s="45"/>
      <x:c r="K43" s="45"/>
      <x:c r="L43" s="45"/>
      <x:c r="M43" s="45"/>
      <x:c r="N43" s="45"/>
      <x:c r="O43" s="45"/>
      <x:c r="P43" s="45"/>
      <x:c r="Q43" s="45"/>
    </x:row>
    <x:row r="44" spans="1:17" ht="15" customHeight="1">
      <x:c r="A44" s="48" t="s">
        <x:v>115</x:v>
      </x:c>
      <x:c r="B44" s="48">
        <x:v>50</x:v>
      </x:c>
      <x:c r="C44" s="48">
        <x:v>45</x:v>
      </x:c>
      <x:c r="D44" s="48" t="s">
        <x:v>16</x:v>
      </x:c>
      <x:c r="E44" s="48" t="s">
        <x:v>116</x:v>
      </x:c>
      <x:c r="F44" s="48"/>
      <x:c r="G44" s="48" t="s">
        <x:v>117</x:v>
      </x:c>
      <x:c r="H44" s="48">
        <x:f>B48</x:f>
      </x:c>
      <x:c r="I44" s="48">
        <x:f>C48</x:f>
      </x:c>
      <x:c r="J44" s="45"/>
      <x:c r="K44" s="45"/>
      <x:c r="L44" s="45"/>
      <x:c r="M44" s="45"/>
      <x:c r="N44" s="45"/>
      <x:c r="O44" s="45"/>
      <x:c r="P44" s="45"/>
      <x:c r="Q44" s="45"/>
    </x:row>
    <x:row r="45" spans="1:17" ht="15" customHeight="1">
      <x:c r="A45" s="48" t="s">
        <x:v>118</x:v>
      </x:c>
      <x:c r="B45" s="48">
        <x:v>10</x:v>
      </x:c>
      <x:c r="C45" s="48">
        <x:v>0</x:v>
      </x:c>
      <x:c r="D45" s="48" t="s">
        <x:v>16</x:v>
      </x:c>
      <x:c r="E45" s="48" t="s">
        <x:v>119</x:v>
      </x:c>
      <x:c r="F45" s="48"/>
      <x:c r="G45" s="48"/>
      <x:c r="H45" s="48"/>
      <x:c r="I45" s="48"/>
      <x:c r="J45" s="45"/>
      <x:c r="K45" s="45"/>
      <x:c r="L45" s="45"/>
      <x:c r="M45" s="45"/>
      <x:c r="N45" s="45"/>
      <x:c r="O45" s="45"/>
      <x:c r="P45" s="45"/>
      <x:c r="Q45" s="45"/>
    </x:row>
    <x:row r="46" spans="1:17" ht="15" customHeight="1">
      <x:c r="A46" s="48" t="s">
        <x:v>120</x:v>
      </x:c>
      <x:c r="B46" s="48">
        <x:f>B42+B43*B44+B45</x:f>
      </x:c>
      <x:c r="C46" s="48">
        <x:f>C42+C43*C44+C45</x:f>
      </x:c>
      <x:c r="D46" s="48" t="s">
        <x:v>16</x:v>
      </x:c>
      <x:c r="E46" s="48" t="s">
        <x:v>121</x:v>
      </x:c>
      <x:c r="F46" s="48"/>
      <x:c r="G46" s="48"/>
      <x:c r="H46" s="48"/>
      <x:c r="I46" s="48"/>
      <x:c r="J46" s="45"/>
      <x:c r="K46" s="45"/>
      <x:c r="L46" s="45"/>
      <x:c r="M46" s="45"/>
      <x:c r="N46" s="45"/>
      <x:c r="O46" s="45"/>
      <x:c r="P46" s="45"/>
      <x:c r="Q46" s="45"/>
    </x:row>
    <x:row r="47" spans="1:17" ht="15" customHeight="1">
      <x:c r="A47" s="48" t="s">
        <x:v>122</x:v>
      </x:c>
      <x:c r="B47" s="48">
        <x:f>INDEX(MMULT($L$35:$M$36,TRANSPOSE(B46:C46)),1,1)</x:f>
      </x:c>
      <x:c r="C47" s="48">
        <x:f>INDEX(MMULT($L$35:$M$36,TRANSPOSE(B46:C46)),2,1)</x:f>
      </x:c>
      <x:c r="D47" s="48" t="s">
        <x:v>16</x:v>
      </x:c>
      <x:c r="E47" s="48" t="s">
        <x:v>123</x:v>
      </x:c>
      <x:c r="F47" s="48"/>
      <x:c r="G47" s="48"/>
      <x:c r="H47" s="48"/>
      <x:c r="I47" s="48"/>
      <x:c r="J47" s="45"/>
      <x:c r="K47" s="45"/>
      <x:c r="L47" s="45"/>
      <x:c r="M47" s="45"/>
      <x:c r="N47" s="45"/>
      <x:c r="O47" s="45"/>
      <x:c r="P47" s="45"/>
      <x:c r="Q47" s="45"/>
    </x:row>
    <x:row r="48" spans="1:17" ht="15" customHeight="1">
      <x:c r="A48" s="48" t="s">
        <x:v>124</x:v>
      </x:c>
      <x:c r="B48" s="48">
        <x:f>$B$30+B47</x:f>
      </x:c>
      <x:c r="C48" s="48">
        <x:f>$C$30+C47</x:f>
      </x:c>
      <x:c r="D48" s="48" t="s">
        <x:v>16</x:v>
      </x:c>
      <x:c r="E48" s="48" t="s">
        <x:v>125</x:v>
      </x:c>
      <x:c r="F48" s="48"/>
      <x:c r="G48" s="48"/>
      <x:c r="H48" s="48"/>
      <x:c r="I48" s="48"/>
      <x:c r="J48" s="45"/>
      <x:c r="K48" s="45"/>
      <x:c r="L48" s="45"/>
      <x:c r="M48" s="45"/>
      <x:c r="N48" s="45"/>
      <x:c r="O48" s="45"/>
      <x:c r="P48" s="45"/>
      <x:c r="Q48" s="45"/>
    </x:row>
    <x:row r="49" spans="1:17" ht="26.4" customHeight="1">
      <x:c r="A49" s="48" t="s">
        <x:v>126</x:v>
      </x:c>
      <x:c r="B49" s="48" t="s">
        <x:v>127</x:v>
      </x:c>
      <x:c r="C49" s="48" t="s">
        <x:v>44</x:v>
      </x:c>
      <x:c r="D49" s="48" t="s">
        <x:v>8</x:v>
      </x:c>
      <x:c r="E49" s="48" t="s">
        <x:v>128</x:v>
      </x:c>
      <x:c r="F49" s="48"/>
      <x:c r="G49" s="48"/>
      <x:c r="H49" s="48"/>
      <x:c r="I49" s="48"/>
      <x:c r="J49" s="45"/>
      <x:c r="K49" s="45"/>
      <x:c r="L49" s="45"/>
      <x:c r="M49" s="45"/>
      <x:c r="N49" s="45"/>
      <x:c r="O49" s="45"/>
      <x:c r="P49" s="45"/>
      <x:c r="Q49" s="45"/>
    </x:row>
    <x:row r="50" spans="1:17" ht="15" customHeight="1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</x:row>
    <x:row r="51" spans="1:17" ht="57.599998" customHeight="1">
      <x:c r="A51" s="46" t="inlineStr">
        <x:is>
          <x:t>6. Review Camera 물리 Offset → H1 Initial 검증 / Scanner Head Center / X Field 판정</x:t>
        </x:is>
      </x:c>
      <x:c r="B51" s="46"/>
      <x:c r="C51" s="46"/>
      <x:c r="D51" s="46"/>
      <x:c r="E51" s="46"/>
      <x:c r="F51" s="46"/>
      <x:c r="G51" s="46"/>
      <x:c r="H51" s="46"/>
      <x:c r="I51" s="46"/>
      <x:c r="J51" s="46"/>
      <x:c r="K51" s="46"/>
      <x:c r="L51" s="46"/>
      <x:c r="M51" s="46"/>
      <x:c r="N51" s="46"/>
      <x:c r="O51" s="46"/>
      <x:c r="P51" s="46"/>
      <x:c r="Q51" s="46"/>
    </x:row>
    <x:row r="52" spans="1:17" ht="26.4" customHeight="1">
      <x:c r="A52" s="47" t="s">
        <x:v>129</x:v>
      </x:c>
      <x:c r="B52" s="47" t="s">
        <x:v>130</x:v>
      </x:c>
      <x:c r="C52" s="47" t="s">
        <x:v>131</x:v>
      </x:c>
      <x:c r="D52" s="47" t="s">
        <x:v>132</x:v>
      </x:c>
      <x:c r="E52" s="47" t="s">
        <x:v>133</x:v>
      </x:c>
      <x:c r="F52" s="47" t="s">
        <x:v>134</x:v>
      </x:c>
      <x:c r="G52" s="47" t="s">
        <x:v>135</x:v>
      </x:c>
      <x:c r="H52" s="47" t="s">
        <x:v>136</x:v>
      </x:c>
      <x:c r="I52" s="47" t="s">
        <x:v>137</x:v>
      </x:c>
      <x:c r="J52" s="47" t="s">
        <x:v>138</x:v>
      </x:c>
      <x:c r="K52" s="47" t="s">
        <x:v>139</x:v>
      </x:c>
      <x:c r="L52" s="47" t="s">
        <x:v>140</x:v>
      </x:c>
      <x:c r="M52" s="47" t="s">
        <x:v>141</x:v>
      </x:c>
      <x:c r="N52" s="47" t="s">
        <x:v>142</x:v>
      </x:c>
      <x:c r="O52" s="47" t="inlineStr">
        <x:is>
          <x:t>In X Field</x:t>
        </x:is>
      </x:c>
      <x:c r="P52" s="45"/>
      <x:c r="Q52" s="45"/>
    </x:row>
    <x:row r="53" spans="1:17" ht="15" customHeight="1">
      <x:c r="A53" s="48" t="s">
        <x:v>143</x:v>
      </x:c>
      <x:c r="B53" s="48" t="s">
        <x:v>144</x:v>
      </x:c>
      <x:c r="C53" s="48">
        <x:v>10</x:v>
      </x:c>
      <x:c r="D53" s="48">
        <x:v>1000</x:v>
      </x:c>
      <x:c r="E53" s="48" t="inlineStr">
        <x:is>
          <x:t>설치 보정 X</x:t>
        </x:is>
      </x:c>
      <x:c r="F53" s="48" t="inlineStr">
        <x:is>
          <x:t>설치 보정 Y</x:t>
        </x:is>
      </x:c>
      <x:c r="G53" s="48">
        <x:f>$B$17+C53+E53</x:f>
      </x:c>
      <x:c r="H53" s="48">
        <x:f>$C$17+D53+F53</x:f>
      </x:c>
      <x:c r="I53" s="48">
        <x:v>100</x:v>
      </x:c>
      <x:c r="J53" s="48">
        <x:v>100</x:v>
      </x:c>
      <x:c r="K53" s="48">
        <x:v>-1</x:v>
      </x:c>
      <x:c r="L53" s="48">
        <x:v>1</x:v>
      </x:c>
      <x:c r="M53" s="48">
        <x:f>$B$48-G53</x:f>
      </x:c>
      <x:c r="N53" s="48">
        <x:f>$C$48-H53</x:f>
      </x:c>
      <x:c r="O53" s="48">
        <x:f>AND(ABS(M53)&lt;=I53)</x:f>
      </x:c>
      <x:c r="P53" s="45"/>
      <x:c r="Q53" s="45"/>
    </x:row>
    <x:row r="54" spans="1:17" ht="15" customHeight="1">
      <x:c r="A54" s="48" t="s">
        <x:v>145</x:v>
      </x:c>
      <x:c r="B54" s="48" t="s">
        <x:v>146</x:v>
      </x:c>
      <x:c r="C54" s="48">
        <x:v>210</x:v>
      </x:c>
      <x:c r="D54" s="48">
        <x:v>1060</x:v>
      </x:c>
      <x:c r="E54" s="48">
        <x:v>0</x:v>
      </x:c>
      <x:c r="F54" s="48">
        <x:v>0</x:v>
      </x:c>
      <x:c r="G54" s="48">
        <x:f>$B$17+C54+E54</x:f>
      </x:c>
      <x:c r="H54" s="48">
        <x:f>$C$17+D54+F54</x:f>
      </x:c>
      <x:c r="I54" s="48">
        <x:v>100</x:v>
      </x:c>
      <x:c r="J54" s="48">
        <x:v>100</x:v>
      </x:c>
      <x:c r="K54" s="48">
        <x:v>1</x:v>
      </x:c>
      <x:c r="L54" s="48">
        <x:v>-1</x:v>
      </x:c>
      <x:c r="M54" s="48">
        <x:f>$B$48-G54</x:f>
      </x:c>
      <x:c r="N54" s="48">
        <x:f>$C$48-H54</x:f>
      </x:c>
      <x:c r="O54" s="48">
        <x:f>AND(ABS(M54)&lt;=I54)</x:f>
      </x:c>
      <x:c r="P54" s="45"/>
      <x:c r="Q54" s="45"/>
    </x:row>
    <x:row r="55" spans="1:17" ht="15" customHeight="1">
      <x:c r="A55" s="48" t="s">
        <x:v>147</x:v>
      </x:c>
      <x:c r="B55" s="48" t="s">
        <x:v>144</x:v>
      </x:c>
      <x:c r="C55" s="48">
        <x:v>410</x:v>
      </x:c>
      <x:c r="D55" s="48">
        <x:v>1000</x:v>
      </x:c>
      <x:c r="E55" s="48">
        <x:v>0</x:v>
      </x:c>
      <x:c r="F55" s="48">
        <x:v>0</x:v>
      </x:c>
      <x:c r="G55" s="48">
        <x:f>$B$17+C55+E55</x:f>
      </x:c>
      <x:c r="H55" s="48">
        <x:f>$C$17+D55+F55</x:f>
      </x:c>
      <x:c r="I55" s="48">
        <x:v>100</x:v>
      </x:c>
      <x:c r="J55" s="48">
        <x:v>100</x:v>
      </x:c>
      <x:c r="K55" s="48">
        <x:v>-1</x:v>
      </x:c>
      <x:c r="L55" s="48">
        <x:v>1</x:v>
      </x:c>
      <x:c r="M55" s="48">
        <x:f>$B$48-G55</x:f>
      </x:c>
      <x:c r="N55" s="48">
        <x:f>$C$48-H55</x:f>
      </x:c>
      <x:c r="O55" s="48">
        <x:f>AND(ABS(M55)&lt;=I55)</x:f>
      </x:c>
      <x:c r="P55" s="45"/>
      <x:c r="Q55" s="45"/>
    </x:row>
    <x:row r="56" spans="1:17" ht="15" customHeight="1">
      <x:c r="A56" s="48" t="s">
        <x:v>148</x:v>
      </x:c>
      <x:c r="B56" s="48" t="s">
        <x:v>146</x:v>
      </x:c>
      <x:c r="C56" s="48">
        <x:v>610</x:v>
      </x:c>
      <x:c r="D56" s="48">
        <x:v>1060</x:v>
      </x:c>
      <x:c r="E56" s="48">
        <x:v>0</x:v>
      </x:c>
      <x:c r="F56" s="48">
        <x:v>0</x:v>
      </x:c>
      <x:c r="G56" s="48">
        <x:f>$B$17+C56+E56</x:f>
      </x:c>
      <x:c r="H56" s="48">
        <x:f>$C$17+D56+F56</x:f>
      </x:c>
      <x:c r="I56" s="48">
        <x:v>100</x:v>
      </x:c>
      <x:c r="J56" s="48">
        <x:v>100</x:v>
      </x:c>
      <x:c r="K56" s="48">
        <x:v>1</x:v>
      </x:c>
      <x:c r="L56" s="48">
        <x:v>-1</x:v>
      </x:c>
      <x:c r="M56" s="48">
        <x:f>$B$48-G56</x:f>
      </x:c>
      <x:c r="N56" s="48">
        <x:f>$C$48-H56</x:f>
      </x:c>
      <x:c r="O56" s="48">
        <x:f>AND(ABS(M56)&lt;=I56)</x:f>
      </x:c>
      <x:c r="P56" s="45"/>
      <x:c r="Q56" s="45"/>
    </x:row>
    <x:row r="57" spans="1:17" ht="15" customHeight="1">
      <x:c r="A57" s="48" t="s">
        <x:v>149</x:v>
      </x:c>
      <x:c r="B57" s="48" t="s">
        <x:v>144</x:v>
      </x:c>
      <x:c r="C57" s="48">
        <x:v>810</x:v>
      </x:c>
      <x:c r="D57" s="48">
        <x:v>1000</x:v>
      </x:c>
      <x:c r="E57" s="48">
        <x:v>0</x:v>
      </x:c>
      <x:c r="F57" s="48">
        <x:v>0</x:v>
      </x:c>
      <x:c r="G57" s="48">
        <x:f>$B$17+C57+E57</x:f>
      </x:c>
      <x:c r="H57" s="48">
        <x:f>$C$17+D57+F57</x:f>
      </x:c>
      <x:c r="I57" s="48">
        <x:v>100</x:v>
      </x:c>
      <x:c r="J57" s="48">
        <x:v>100</x:v>
      </x:c>
      <x:c r="K57" s="48">
        <x:v>-1</x:v>
      </x:c>
      <x:c r="L57" s="48">
        <x:v>1</x:v>
      </x:c>
      <x:c r="M57" s="48">
        <x:f>$B$48-G57</x:f>
      </x:c>
      <x:c r="N57" s="48">
        <x:f>$C$48-H57</x:f>
      </x:c>
      <x:c r="O57" s="48">
        <x:f>AND(ABS(M57)&lt;=I57)</x:f>
      </x:c>
      <x:c r="P57" s="45"/>
      <x:c r="Q57" s="45"/>
    </x:row>
    <x:row r="58" spans="1:17" ht="15" customHeight="1">
      <x:c r="A58" s="48" t="s">
        <x:v>150</x:v>
      </x:c>
      <x:c r="B58" s="48" t="s">
        <x:v>146</x:v>
      </x:c>
      <x:c r="C58" s="48">
        <x:v>1010</x:v>
      </x:c>
      <x:c r="D58" s="48">
        <x:v>1060</x:v>
      </x:c>
      <x:c r="E58" s="48">
        <x:v>0</x:v>
      </x:c>
      <x:c r="F58" s="48">
        <x:v>0</x:v>
      </x:c>
      <x:c r="G58" s="48">
        <x:f>$B$17+C58+E58</x:f>
      </x:c>
      <x:c r="H58" s="48">
        <x:f>$C$17+D58+F58</x:f>
      </x:c>
      <x:c r="I58" s="48">
        <x:v>100</x:v>
      </x:c>
      <x:c r="J58" s="48">
        <x:v>100</x:v>
      </x:c>
      <x:c r="K58" s="48">
        <x:v>1</x:v>
      </x:c>
      <x:c r="L58" s="48">
        <x:v>-1</x:v>
      </x:c>
      <x:c r="M58" s="48">
        <x:f>$B$48-G58</x:f>
      </x:c>
      <x:c r="N58" s="48">
        <x:f>$C$48-H58</x:f>
      </x:c>
      <x:c r="O58" s="48">
        <x:f>AND(ABS(M58)&lt;=I58)</x:f>
      </x:c>
      <x:c r="P58" s="45"/>
      <x:c r="Q58" s="45"/>
    </x:row>
    <x:row r="59" spans="1:17" ht="15" customHeight="1">
      <x:c r="A59" s="48" t="s">
        <x:v>151</x:v>
      </x:c>
      <x:c r="B59" s="48" t="s">
        <x:v>144</x:v>
      </x:c>
      <x:c r="C59" s="48">
        <x:v>1210</x:v>
      </x:c>
      <x:c r="D59" s="48">
        <x:v>1000</x:v>
      </x:c>
      <x:c r="E59" s="48">
        <x:v>0</x:v>
      </x:c>
      <x:c r="F59" s="48">
        <x:v>0</x:v>
      </x:c>
      <x:c r="G59" s="48">
        <x:f>$B$17+C59+E59</x:f>
      </x:c>
      <x:c r="H59" s="48">
        <x:f>$C$17+D59+F59</x:f>
      </x:c>
      <x:c r="I59" s="48">
        <x:v>100</x:v>
      </x:c>
      <x:c r="J59" s="48">
        <x:v>100</x:v>
      </x:c>
      <x:c r="K59" s="48">
        <x:v>-1</x:v>
      </x:c>
      <x:c r="L59" s="48">
        <x:v>1</x:v>
      </x:c>
      <x:c r="M59" s="48">
        <x:f>$B$48-G59</x:f>
      </x:c>
      <x:c r="N59" s="48">
        <x:f>$C$48-H59</x:f>
      </x:c>
      <x:c r="O59" s="48">
        <x:f>AND(ABS(M59)&lt;=I59)</x:f>
      </x:c>
      <x:c r="P59" s="45"/>
      <x:c r="Q59" s="45"/>
    </x:row>
    <x:row r="60" spans="1:17" ht="15" customHeight="1">
      <x:c r="A60" s="48" t="s">
        <x:v>152</x:v>
      </x:c>
      <x:c r="B60" s="48" t="s">
        <x:v>146</x:v>
      </x:c>
      <x:c r="C60" s="48">
        <x:v>1410</x:v>
      </x:c>
      <x:c r="D60" s="48">
        <x:v>1060</x:v>
      </x:c>
      <x:c r="E60" s="48">
        <x:v>0</x:v>
      </x:c>
      <x:c r="F60" s="48">
        <x:v>0</x:v>
      </x:c>
      <x:c r="G60" s="48">
        <x:f>$B$17+C60+E60</x:f>
      </x:c>
      <x:c r="H60" s="48">
        <x:f>$C$17+D60+F60</x:f>
      </x:c>
      <x:c r="I60" s="48">
        <x:v>100</x:v>
      </x:c>
      <x:c r="J60" s="48">
        <x:v>100</x:v>
      </x:c>
      <x:c r="K60" s="48">
        <x:v>1</x:v>
      </x:c>
      <x:c r="L60" s="48">
        <x:v>-1</x:v>
      </x:c>
      <x:c r="M60" s="48">
        <x:f>$B$48-G60</x:f>
      </x:c>
      <x:c r="N60" s="48">
        <x:f>$C$48-H60</x:f>
      </x:c>
      <x:c r="O60" s="48">
        <x:f>AND(ABS(M60)&lt;=I60)</x:f>
      </x:c>
      <x:c r="P60" s="45"/>
      <x:c r="Q60" s="45"/>
    </x:row>
    <x:row r="61" spans="1:17" ht="15" customHeight="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</x:row>
    <x:row r="62" spans="1:17" ht="15" customHeight="1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</x:row>
    <x:row r="63" spans="1:17" ht="43.200001" customHeight="1">
      <x:c r="A63" s="46" t="s">
        <x:v>153</x:v>
      </x:c>
      <x:c r="B63" s="46"/>
      <x:c r="C63" s="46"/>
      <x:c r="D63" s="46"/>
      <x:c r="E63" s="46"/>
      <x:c r="F63" s="46"/>
      <x:c r="G63" s="46"/>
      <x:c r="H63" s="46"/>
      <x:c r="I63" s="46"/>
      <x:c r="J63" s="46"/>
      <x:c r="K63" s="46"/>
      <x:c r="L63" s="46"/>
      <x:c r="M63" s="46"/>
      <x:c r="N63" s="46"/>
      <x:c r="O63" s="46"/>
      <x:c r="P63" s="46"/>
      <x:c r="Q63" s="46"/>
    </x:row>
    <x:row r="64" spans="1:17" ht="15" customHeight="1">
      <x:c r="A64" s="47" t="s">
        <x:v>2</x:v>
      </x:c>
      <x:c r="B64" s="47" t="s">
        <x:v>28</x:v>
      </x:c>
      <x:c r="C64" s="47" t="s">
        <x:v>29</x:v>
      </x:c>
      <x:c r="D64" s="47" t="s">
        <x:v>4</x:v>
      </x:c>
      <x:c r="E64" s="47"/>
      <x:c r="F64" s="47" t="s">
        <x:v>154</x:v>
      </x:c>
      <x:c r="G64" s="47" t="s">
        <x:v>44</x:v>
      </x:c>
      <x:c r="H64" s="47"/>
      <x:c r="I64" s="47" t="s">
        <x:v>155</x:v>
      </x:c>
      <x:c r="J64" s="47"/>
      <x:c r="K64" s="47" t="s">
        <x:v>55</x:v>
      </x:c>
      <x:c r="L64" s="47" t="s">
        <x:v>56</x:v>
      </x:c>
      <x:c r="M64" s="45"/>
      <x:c r="N64" s="45"/>
      <x:c r="O64" s="45"/>
      <x:c r="P64" s="45"/>
      <x:c r="Q64" s="45"/>
    </x:row>
    <x:row r="65" spans="1:17" ht="15" customHeight="1">
      <x:c r="A65" s="48" t="inlineStr">
        <x:is>
          <x:t>Selected Head</x:t>
        </x:is>
      </x:c>
      <x:c r="B65" s="48" t="inlineStr">
        <x:is>
          <x:t>H5</x:t>
        </x:is>
      </x:c>
      <x:c r="C65" s="48" t="inlineStr">
        <x:is>
          <x:t>Odd</x:t>
        </x:is>
      </x:c>
      <x:c r="D65" s="48" t="s">
        <x:v>8</x:v>
      </x:c>
      <x:c r="E65" s="48"/>
      <x:c r="F65" s="48">
        <x:f>K57</x:f>
      </x:c>
      <x:c r="G65" s="48">
        <x:v>0</x:v>
      </x:c>
      <x:c r="H65" s="48"/>
      <x:c r="I65" s="48">
        <x:f>B68</x:f>
      </x:c>
      <x:c r="J65" s="48"/>
      <x:c r="K65" s="48" t="s">
        <x:v>156</x:v>
      </x:c>
      <x:c r="L65" s="48">
        <x:f>B69</x:f>
      </x:c>
      <x:c r="M65" s="45"/>
      <x:c r="N65" s="45"/>
      <x:c r="O65" s="45"/>
      <x:c r="P65" s="45"/>
      <x:c r="Q65" s="45"/>
    </x:row>
    <x:row r="66" spans="1:17" ht="15" customHeight="1">
      <x:c r="A66" s="48" t="s">
        <x:v>157</x:v>
      </x:c>
      <x:c r="B66" s="48">
        <x:f>G57</x:f>
      </x:c>
      <x:c r="C66" s="48">
        <x:f>H57</x:f>
      </x:c>
      <x:c r="D66" s="48" t="s">
        <x:v>16</x:v>
      </x:c>
      <x:c r="E66" s="48"/>
      <x:c r="F66" s="48">
        <x:v>0</x:v>
      </x:c>
      <x:c r="G66" s="48">
        <x:f>L57</x:f>
      </x:c>
      <x:c r="H66" s="48"/>
      <x:c r="I66" s="48">
        <x:f>C68</x:f>
      </x:c>
      <x:c r="J66" s="48"/>
      <x:c r="K66" s="48" t="s">
        <x:v>158</x:v>
      </x:c>
      <x:c r="L66" s="48">
        <x:f>C69</x:f>
      </x:c>
      <x:c r="M66" s="45"/>
      <x:c r="N66" s="45"/>
      <x:c r="O66" s="45"/>
      <x:c r="P66" s="45"/>
      <x:c r="Q66" s="45"/>
    </x:row>
    <x:row r="67" spans="1:17" ht="15" customHeight="1">
      <x:c r="A67" s="48" t="s">
        <x:v>159</x:v>
      </x:c>
      <x:c r="B67" s="48">
        <x:f>$B$48</x:f>
      </x:c>
      <x:c r="C67" s="48">
        <x:f>$C$48</x:f>
      </x:c>
      <x:c r="D67" s="48" t="s">
        <x:v>16</x:v>
      </x:c>
      <x:c r="E67" s="48"/>
      <x:c r="F67" s="48"/>
      <x:c r="G67" s="48"/>
      <x:c r="H67" s="48"/>
      <x:c r="I67" s="48"/>
      <x:c r="J67" s="48"/>
      <x:c r="K67" s="48" t="s">
        <x:v>160</x:v>
      </x:c>
      <x:c r="L67" s="48">
        <x:f>B71</x:f>
      </x:c>
      <x:c r="M67" s="45"/>
      <x:c r="N67" s="45"/>
      <x:c r="O67" s="45"/>
      <x:c r="P67" s="45"/>
      <x:c r="Q67" s="45"/>
    </x:row>
    <x:row r="68" spans="1:17" ht="15" customHeight="1">
      <x:c r="A68" s="48" t="s">
        <x:v>161</x:v>
      </x:c>
      <x:c r="B68" s="48">
        <x:f>B67-B66</x:f>
      </x:c>
      <x:c r="C68" s="48">
        <x:f>C67-C66</x:f>
      </x:c>
      <x:c r="D68" s="48" t="s">
        <x:v>16</x:v>
      </x:c>
      <x:c r="E68" s="48"/>
      <x:c r="F68" s="48"/>
      <x:c r="G68" s="48"/>
      <x:c r="H68" s="48"/>
      <x:c r="I68" s="48"/>
      <x:c r="J68" s="48"/>
      <x:c r="K68" s="48" t="s">
        <x:v>162</x:v>
      </x:c>
      <x:c r="L68" s="48">
        <x:f>C71</x:f>
      </x:c>
      <x:c r="M68" s="45"/>
      <x:c r="N68" s="45"/>
      <x:c r="O68" s="45"/>
      <x:c r="P68" s="45"/>
      <x:c r="Q68" s="45"/>
    </x:row>
    <x:row r="69" spans="1:17" ht="15" customHeight="1">
      <x:c r="A69" s="48" t="s">
        <x:v>163</x:v>
      </x:c>
      <x:c r="B69" s="48">
        <x:f>INDEX(MMULT($F$65:$G$66,$I$65:$I$66),1,1)</x:f>
      </x:c>
      <x:c r="C69" s="48">
        <x:f>INDEX(MMULT($F$65:$G$66,$I$65:$I$66),2,1)</x:f>
      </x:c>
      <x:c r="D69" s="48" t="s">
        <x:v>16</x:v>
      </x:c>
      <x:c r="E69" s="48"/>
      <x:c r="F69" s="48"/>
      <x:c r="G69" s="48"/>
      <x:c r="H69" s="48"/>
      <x:c r="I69" s="48"/>
      <x:c r="J69" s="48"/>
      <x:c r="K69" s="48" t="s">
        <x:v>5</x:v>
      </x:c>
      <x:c r="L69" s="48" t="inlineStr">
        <x:is>
          <x:t>H5 Odd / X Field 내부 / Y는 기판 이송으로 커버</x:t>
        </x:is>
      </x:c>
      <x:c r="M69" s="45"/>
      <x:c r="N69" s="45"/>
      <x:c r="O69" s="45"/>
      <x:c r="P69" s="45"/>
      <x:c r="Q69" s="45"/>
    </x:row>
    <x:row r="70" spans="1:17" ht="15" customHeight="1">
      <x:c r="A70" s="48" t="s">
        <x:v>164</x:v>
      </x:c>
      <x:c r="B70" s="48">
        <x:v>0.012</x:v>
      </x:c>
      <x:c r="C70" s="48">
        <x:v>-0.006</x:v>
      </x:c>
      <x:c r="D70" s="48" t="s">
        <x:v>16</x:v>
      </x:c>
      <x:c r="E70" s="48"/>
      <x:c r="F70" s="48"/>
      <x:c r="G70" s="48"/>
      <x:c r="H70" s="48"/>
      <x:c r="I70" s="48"/>
      <x:c r="J70" s="48"/>
      <x:c r="K70" s="48"/>
      <x:c r="L70" s="48"/>
      <x:c r="M70" s="45"/>
      <x:c r="N70" s="45"/>
      <x:c r="O70" s="45"/>
      <x:c r="P70" s="45"/>
      <x:c r="Q70" s="45"/>
    </x:row>
    <x:row r="71" spans="1:17" ht="15" customHeight="1">
      <x:c r="A71" s="48" t="s">
        <x:v>165</x:v>
      </x:c>
      <x:c r="B71" s="48">
        <x:f>B69+B70</x:f>
      </x:c>
      <x:c r="C71" s="48">
        <x:f>C69+C70</x:f>
      </x:c>
      <x:c r="D71" s="48" t="s">
        <x:v>16</x:v>
      </x:c>
      <x:c r="E71" s="48"/>
      <x:c r="F71" s="48"/>
      <x:c r="G71" s="48"/>
      <x:c r="H71" s="48"/>
      <x:c r="I71" s="48"/>
      <x:c r="J71" s="48"/>
      <x:c r="K71" s="48"/>
      <x:c r="L71" s="48"/>
      <x:c r="M71" s="45"/>
      <x:c r="N71" s="45"/>
      <x:c r="O71" s="45"/>
      <x:c r="P71" s="45"/>
      <x:c r="Q71" s="45"/>
    </x:row>
    <x:row r="72" spans="1:17" ht="15" customHeight="1">
      <x:c r="A72" s="48" t="s">
        <x:v>166</x:v>
      </x:c>
      <x:c r="B72" s="48" t="s">
        <x:v>167</x:v>
      </x:c>
      <x:c r="C72" s="48" t="s">
        <x:v>168</x:v>
      </x:c>
      <x:c r="D72" s="48" t="s">
        <x:v>8</x:v>
      </x:c>
      <x:c r="E72" s="48"/>
      <x:c r="F72" s="48"/>
      <x:c r="G72" s="48"/>
      <x:c r="H72" s="48"/>
      <x:c r="I72" s="48"/>
      <x:c r="J72" s="48"/>
      <x:c r="K72" s="48"/>
      <x:c r="L72" s="48"/>
      <x:c r="M72" s="45"/>
      <x:c r="N72" s="45"/>
      <x:c r="O72" s="45"/>
      <x:c r="P72" s="45"/>
      <x:c r="Q72" s="45"/>
    </x:row>
    <x:row r="73" spans="1:17" ht="15" customHeight="1">
      <x:c r="A73" s="48" t="s">
        <x:v>169</x:v>
      </x:c>
      <x:c r="B73" s="48" t="s">
        <x:v>170</x:v>
      </x:c>
      <x:c r="C73" s="48" t="s">
        <x:v>171</x:v>
      </x:c>
      <x:c r="D73" s="48" t="s">
        <x:v>8</x:v>
      </x:c>
      <x:c r="E73" s="48"/>
      <x:c r="F73" s="48"/>
      <x:c r="G73" s="48"/>
      <x:c r="H73" s="48"/>
      <x:c r="I73" s="48"/>
      <x:c r="J73" s="48"/>
      <x:c r="K73" s="48"/>
      <x:c r="L73" s="48"/>
      <x:c r="M73" s="45"/>
      <x:c r="N73" s="45"/>
      <x:c r="O73" s="45"/>
      <x:c r="P73" s="45"/>
      <x:c r="Q73" s="45"/>
    </x:row>
    <x:row r="74" spans="1:17" ht="15" customHeight="1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</x:row>
    <x:row r="75" spans="1:17" ht="43.200001" customHeight="1">
      <x:c r="A75" s="46" t="s">
        <x:v>172</x:v>
      </x:c>
      <x:c r="B75" s="46"/>
      <x:c r="C75" s="46"/>
      <x:c r="D75" s="46"/>
      <x:c r="E75" s="46"/>
      <x:c r="F75" s="46"/>
      <x:c r="G75" s="46"/>
      <x:c r="H75" s="46"/>
      <x:c r="I75" s="46"/>
      <x:c r="J75" s="46"/>
      <x:c r="K75" s="46"/>
      <x:c r="L75" s="46"/>
      <x:c r="M75" s="46"/>
      <x:c r="N75" s="46"/>
      <x:c r="O75" s="46"/>
      <x:c r="P75" s="46"/>
      <x:c r="Q75" s="46"/>
    </x:row>
    <x:row r="76" spans="1:17" ht="15" customHeight="1">
      <x:c r="A76" s="47" t="s">
        <x:v>50</x:v>
      </x:c>
      <x:c r="B76" s="47" t="s">
        <x:v>173</x:v>
      </x:c>
      <x:c r="C76" s="47" t="s">
        <x:v>174</x:v>
      </x:c>
      <x:c r="D76" s="47" t="s">
        <x:v>4</x:v>
      </x:c>
      <x:c r="E76" s="47" t="s">
        <x:v>30</x:v>
      </x:c>
      <x:c r="F76" s="47"/>
      <x:c r="G76" s="47" t="s">
        <x:v>53</x:v>
      </x:c>
      <x:c r="H76" s="47" t="s">
        <x:v>44</x:v>
      </x:c>
      <x:c r="I76" s="47"/>
      <x:c r="J76" s="47" t="s">
        <x:v>54</x:v>
      </x:c>
      <x:c r="K76" s="47"/>
      <x:c r="L76" s="47" t="s">
        <x:v>55</x:v>
      </x:c>
      <x:c r="M76" s="47" t="s">
        <x:v>56</x:v>
      </x:c>
      <x:c r="N76" s="45"/>
      <x:c r="O76" s="45"/>
      <x:c r="P76" s="45"/>
      <x:c r="Q76" s="45"/>
    </x:row>
    <x:row r="77" spans="1:17" ht="15" customHeight="1">
      <x:c r="A77" s="48" t="s">
        <x:v>159</x:v>
      </x:c>
      <x:c r="B77" s="48">
        <x:f>$B$48</x:f>
      </x:c>
      <x:c r="C77" s="48">
        <x:f>$C$48</x:f>
      </x:c>
      <x:c r="D77" s="48" t="s">
        <x:v>16</x:v>
      </x:c>
      <x:c r="E77" s="48" t="s">
        <x:v>175</x:v>
      </x:c>
      <x:c r="F77" s="48"/>
      <x:c r="G77" s="48">
        <x:f>$B$19</x:f>
      </x:c>
      <x:c r="H77" s="48">
        <x:v>0</x:v>
      </x:c>
      <x:c r="I77" s="48"/>
      <x:c r="J77" s="48">
        <x:f>B80</x:f>
      </x:c>
      <x:c r="K77" s="48"/>
      <x:c r="L77" s="48" t="s">
        <x:v>176</x:v>
      </x:c>
      <x:c r="M77" s="48">
        <x:f>B83</x:f>
      </x:c>
      <x:c r="N77" s="45"/>
      <x:c r="O77" s="45"/>
      <x:c r="P77" s="45"/>
      <x:c r="Q77" s="45"/>
    </x:row>
    <x:row r="78" spans="1:17" ht="26.4" customHeight="1">
      <x:c r="A78" s="48" t="s">
        <x:v>177</x:v>
      </x:c>
      <x:c r="B78" s="48">
        <x:f>B77</x:f>
      </x:c>
      <x:c r="C78" s="48">
        <x:f>C77</x:f>
      </x:c>
      <x:c r="D78" s="48" t="s">
        <x:v>16</x:v>
      </x:c>
      <x:c r="E78" s="48" t="s">
        <x:v>178</x:v>
      </x:c>
      <x:c r="F78" s="48"/>
      <x:c r="G78" s="48">
        <x:v>0</x:v>
      </x:c>
      <x:c r="H78" s="48">
        <x:f>$C$19</x:f>
      </x:c>
      <x:c r="I78" s="48"/>
      <x:c r="J78" s="48">
        <x:f>C80</x:f>
      </x:c>
      <x:c r="K78" s="48"/>
      <x:c r="L78" s="48" t="s">
        <x:v>179</x:v>
      </x:c>
      <x:c r="M78" s="48">
        <x:f>C83</x:f>
      </x:c>
      <x:c r="N78" s="45"/>
      <x:c r="O78" s="45"/>
      <x:c r="P78" s="45"/>
      <x:c r="Q78" s="45"/>
    </x:row>
    <x:row r="79" spans="1:17" ht="15" customHeight="1">
      <x:c r="A79" s="48" t="s">
        <x:v>180</x:v>
      </x:c>
      <x:c r="B79" s="48">
        <x:f>$B$18+0.018/$B$19</x:f>
      </x:c>
      <x:c r="C79" s="48">
        <x:f>$C$18-0.012/$C$19</x:f>
      </x:c>
      <x:c r="D79" s="48" t="s">
        <x:v>38</x:v>
      </x:c>
      <x:c r="E79" s="48" t="s">
        <x:v>181</x:v>
      </x:c>
      <x:c r="F79" s="48"/>
      <x:c r="G79" s="48"/>
      <x:c r="H79" s="48"/>
      <x:c r="I79" s="48"/>
      <x:c r="J79" s="48"/>
      <x:c r="K79" s="48"/>
      <x:c r="L79" s="48" t="s">
        <x:v>182</x:v>
      </x:c>
      <x:c r="M79" s="48">
        <x:f>B84</x:f>
      </x:c>
      <x:c r="N79" s="45"/>
      <x:c r="O79" s="45"/>
      <x:c r="P79" s="45"/>
      <x:c r="Q79" s="45"/>
    </x:row>
    <x:row r="80" spans="1:17" ht="15" customHeight="1">
      <x:c r="A80" s="48" t="s">
        <x:v>183</x:v>
      </x:c>
      <x:c r="B80" s="48">
        <x:f>B79-$B$18</x:f>
      </x:c>
      <x:c r="C80" s="48">
        <x:f>C79-$C$18</x:f>
      </x:c>
      <x:c r="D80" s="48" t="s">
        <x:v>38</x:v>
      </x:c>
      <x:c r="E80" s="48" t="s">
        <x:v>184</x:v>
      </x:c>
      <x:c r="F80" s="48"/>
      <x:c r="G80" s="48"/>
      <x:c r="H80" s="48"/>
      <x:c r="I80" s="48"/>
      <x:c r="J80" s="48"/>
      <x:c r="K80" s="48"/>
      <x:c r="L80" s="48" t="s">
        <x:v>185</x:v>
      </x:c>
      <x:c r="M80" s="48">
        <x:f>C84</x:f>
      </x:c>
      <x:c r="N80" s="45"/>
      <x:c r="O80" s="45"/>
      <x:c r="P80" s="45"/>
      <x:c r="Q80" s="45"/>
    </x:row>
    <x:row r="81" spans="1:17" ht="26.4" customHeight="1">
      <x:c r="A81" s="48" t="s">
        <x:v>67</x:v>
      </x:c>
      <x:c r="B81" s="48">
        <x:f>INDEX(MMULT($G$77:$H$78,$J$77:$J$78),1,1)</x:f>
      </x:c>
      <x:c r="C81" s="48">
        <x:f>INDEX(MMULT($G$77:$H$78,$J$77:$J$78),2,1)</x:f>
      </x:c>
      <x:c r="D81" s="48" t="s">
        <x:v>16</x:v>
      </x:c>
      <x:c r="E81" s="48" t="s">
        <x:v>186</x:v>
      </x:c>
      <x:c r="F81" s="48"/>
      <x:c r="G81" s="48"/>
      <x:c r="H81" s="48"/>
      <x:c r="I81" s="48"/>
      <x:c r="J81" s="48"/>
      <x:c r="K81" s="48"/>
      <x:c r="L81" s="48" t="s">
        <x:v>187</x:v>
      </x:c>
      <x:c r="M81" s="48" t="s">
        <x:v>188</x:v>
      </x:c>
      <x:c r="N81" s="45"/>
      <x:c r="O81" s="45"/>
      <x:c r="P81" s="45"/>
      <x:c r="Q81" s="45"/>
    </x:row>
    <x:row r="82" spans="1:17" ht="39.599998" customHeight="1">
      <x:c r="A82" s="48" t="s">
        <x:v>189</x:v>
      </x:c>
      <x:c r="B82" s="48">
        <x:f>B78+B81</x:f>
      </x:c>
      <x:c r="C82" s="48">
        <x:f>C78+C81</x:f>
      </x:c>
      <x:c r="D82" s="48" t="s">
        <x:v>16</x:v>
      </x:c>
      <x:c r="E82" s="48" t="s">
        <x:v>190</x:v>
      </x:c>
      <x:c r="F82" s="48"/>
      <x:c r="G82" s="48"/>
      <x:c r="H82" s="48"/>
      <x:c r="I82" s="48"/>
      <x:c r="J82" s="48"/>
      <x:c r="K82" s="48"/>
      <x:c r="L82" s="48" t="s">
        <x:v>5</x:v>
      </x:c>
      <x:c r="M82" s="48" t="s">
        <x:v>191</x:v>
      </x:c>
      <x:c r="N82" s="45"/>
      <x:c r="O82" s="45"/>
      <x:c r="P82" s="45"/>
      <x:c r="Q82" s="45"/>
    </x:row>
    <x:row r="83" spans="1:17" ht="26.4" customHeight="1">
      <x:c r="A83" s="48" t="s">
        <x:v>192</x:v>
      </x:c>
      <x:c r="B83" s="48">
        <x:f>B82-B77</x:f>
      </x:c>
      <x:c r="C83" s="48">
        <x:f>C82-C77</x:f>
      </x:c>
      <x:c r="D83" s="48" t="s">
        <x:v>16</x:v>
      </x:c>
      <x:c r="E83" s="48" t="s">
        <x:v>193</x:v>
      </x:c>
      <x:c r="F83" s="48"/>
      <x:c r="G83" s="48"/>
      <x:c r="H83" s="48"/>
      <x:c r="I83" s="48"/>
      <x:c r="J83" s="48"/>
      <x:c r="K83" s="48"/>
      <x:c r="L83" s="48"/>
      <x:c r="M83" s="48"/>
      <x:c r="N83" s="45"/>
      <x:c r="O83" s="45"/>
      <x:c r="P83" s="45"/>
      <x:c r="Q83" s="45"/>
    </x:row>
    <x:row r="84" spans="1:17" ht="15" customHeight="1">
      <x:c r="A84" s="48" t="s">
        <x:v>194</x:v>
      </x:c>
      <x:c r="B84" s="48">
        <x:f>-B83</x:f>
      </x:c>
      <x:c r="C84" s="48">
        <x:f>-C83</x:f>
      </x:c>
      <x:c r="D84" s="48" t="s">
        <x:v>16</x:v>
      </x:c>
      <x:c r="E84" s="48" t="s">
        <x:v>195</x:v>
      </x:c>
      <x:c r="F84" s="48"/>
      <x:c r="G84" s="48"/>
      <x:c r="H84" s="48"/>
      <x:c r="I84" s="48"/>
      <x:c r="J84" s="48"/>
      <x:c r="K84" s="48"/>
      <x:c r="L84" s="48"/>
      <x:c r="M84" s="48"/>
      <x:c r="N84" s="45"/>
      <x:c r="O84" s="45"/>
      <x:c r="P84" s="45"/>
      <x:c r="Q84" s="45"/>
    </x:row>
    <x:row r="85" spans="1:17" ht="15" customHeight="1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</x:row>
    <x:row r="86" spans="1:17" ht="15" customHeight="1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</x:row>
    <x:row r="87" spans="1:17" ht="28.799999" customHeight="1">
      <x:c r="A87" s="46" t="s">
        <x:v>196</x:v>
      </x:c>
      <x:c r="B87" s="46"/>
      <x:c r="C87" s="46"/>
      <x:c r="D87" s="46"/>
      <x:c r="E87" s="46"/>
      <x:c r="F87" s="46"/>
      <x:c r="G87" s="46"/>
      <x:c r="H87" s="46"/>
      <x:c r="I87" s="46"/>
      <x:c r="J87" s="46"/>
      <x:c r="K87" s="46"/>
      <x:c r="L87" s="46"/>
      <x:c r="M87" s="46"/>
      <x:c r="N87" s="46"/>
      <x:c r="O87" s="46"/>
      <x:c r="P87" s="46"/>
      <x:c r="Q87" s="46"/>
    </x:row>
    <x:row r="88" spans="1:17" ht="15" customHeight="1">
      <x:c r="A88" s="47" t="s">
        <x:v>197</x:v>
      </x:c>
      <x:c r="B88" s="47" t="s">
        <x:v>56</x:v>
      </x:c>
      <x:c r="C88" s="47" t="s">
        <x:v>4</x:v>
      </x:c>
      <x:c r="D88" s="47" t="s">
        <x:v>5</x:v>
      </x:c>
      <x:c r="E88" s="47" t="s">
        <x:v>198</x:v>
      </x:c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</x:row>
    <x:row r="89" spans="1:17" ht="105.599998" customHeight="1">
      <x:c r="A89" s="48" t="s">
        <x:v>199</x:v>
      </x:c>
      <x:c r="B89" s="48" t="s">
        <x:v>200</x:v>
      </x:c>
      <x:c r="C89" s="48" t="s">
        <x:v>8</x:v>
      </x:c>
      <x:c r="D89" s="48" t="s">
        <x:v>201</x:v>
      </x:c>
      <x:c r="E89" s="48" t="s">
        <x:v>202</x:v>
      </x:c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</x:row>
    <x:row r="90" spans="1:17" ht="52.799999" customHeight="1">
      <x:c r="A90" s="48" t="s">
        <x:v>203</x:v>
      </x:c>
      <x:c r="B90" s="48" t="s">
        <x:v>204</x:v>
      </x:c>
      <x:c r="C90" s="48" t="s">
        <x:v>16</x:v>
      </x:c>
      <x:c r="D90" s="48" t="s">
        <x:v>205</x:v>
      </x:c>
      <x:c r="E90" s="48" t="s">
        <x:v>206</x:v>
      </x:c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</x:row>
    <x:row r="91" spans="1:17" ht="52.799999" customHeight="1">
      <x:c r="A91" s="48" t="s">
        <x:v>207</x:v>
      </x:c>
      <x:c r="B91" s="48" t="s">
        <x:v>208</x:v>
      </x:c>
      <x:c r="C91" s="48" t="s">
        <x:v>16</x:v>
      </x:c>
      <x:c r="D91" s="48" t="s">
        <x:v>209</x:v>
      </x:c>
      <x:c r="E91" s="48" t="s">
        <x:v>206</x:v>
      </x:c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</x:row>
    <x:row r="92" spans="1:17" ht="66" customHeight="1">
      <x:c r="A92" s="48" t="s">
        <x:v>210</x:v>
      </x:c>
      <x:c r="B92" s="48" t="s">
        <x:v>211</x:v>
      </x:c>
      <x:c r="C92" s="48" t="s">
        <x:v>16</x:v>
      </x:c>
      <x:c r="D92" s="48" t="s">
        <x:v>212</x:v>
      </x:c>
      <x:c r="E92" s="48" t="s">
        <x:v>213</x:v>
      </x:c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</x:row>
    <x:row r="93" spans="1:17" ht="52.799999" customHeight="1">
      <x:c r="A93" s="48" t="s">
        <x:v>214</x:v>
      </x:c>
      <x:c r="B93" s="48" t="s">
        <x:v>215</x:v>
      </x:c>
      <x:c r="C93" s="48" t="s">
        <x:v>16</x:v>
      </x:c>
      <x:c r="D93" s="48" t="s">
        <x:v>216</x:v>
      </x:c>
      <x:c r="E93" s="48" t="s">
        <x:v>213</x:v>
      </x:c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</x:row>
    <x:row r="94" spans="1:17" ht="66" customHeight="1">
      <x:c r="A94" s="48" t="s">
        <x:v>217</x:v>
      </x:c>
      <x:c r="B94" s="48" t="s">
        <x:v>218</x:v>
      </x:c>
      <x:c r="C94" s="48" t="s">
        <x:v>16</x:v>
      </x:c>
      <x:c r="D94" s="48" t="s">
        <x:v>219</x:v>
      </x:c>
      <x:c r="E94" s="48" t="s">
        <x:v>213</x:v>
      </x:c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</x:row>
    <x:row r="95" spans="1:17" ht="39.599998" customHeight="1">
      <x:c r="A95" s="48" t="s">
        <x:v>220</x:v>
      </x:c>
      <x:c r="B95" s="48">
        <x:f>A57</x:f>
      </x:c>
      <x:c r="C95" s="48" t="s">
        <x:v>8</x:v>
      </x:c>
      <x:c r="D95" s="48" t="s">
        <x:v>221</x:v>
      </x:c>
      <x:c r="E95" s="48" t="s">
        <x:v>222</x:v>
      </x:c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</x:row>
    <x:row r="96" spans="1:17" ht="26.4" customHeight="1">
      <x:c r="A96" s="48" t="s">
        <x:v>223</x:v>
      </x:c>
      <x:c r="B96" s="48">
        <x:f>B71</x:f>
      </x:c>
      <x:c r="C96" s="48" t="s">
        <x:v>16</x:v>
      </x:c>
      <x:c r="D96" s="48" t="s">
        <x:v>224</x:v>
      </x:c>
      <x:c r="E96" s="48" t="s">
        <x:v>225</x:v>
      </x:c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</x:row>
    <x:row r="97" spans="1:17" ht="26.4" customHeight="1">
      <x:c r="A97" s="48" t="s">
        <x:v>226</x:v>
      </x:c>
      <x:c r="B97" s="48">
        <x:f>C71</x:f>
      </x:c>
      <x:c r="C97" s="48" t="s">
        <x:v>16</x:v>
      </x:c>
      <x:c r="D97" s="48" t="s">
        <x:v>227</x:v>
      </x:c>
      <x:c r="E97" s="48" t="s">
        <x:v>225</x:v>
      </x:c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</x:row>
    <x:row r="98" spans="1:17" ht="26.4" customHeight="1">
      <x:c r="A98" s="48" t="s">
        <x:v>228</x:v>
      </x:c>
      <x:c r="B98" s="48">
        <x:f>B84</x:f>
      </x:c>
      <x:c r="C98" s="48" t="s">
        <x:v>16</x:v>
      </x:c>
      <x:c r="D98" s="48" t="s">
        <x:v>229</x:v>
      </x:c>
      <x:c r="E98" s="48" t="s">
        <x:v>225</x:v>
      </x:c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</x:row>
    <x:row r="99" spans="1:17" ht="26.4" customHeight="1">
      <x:c r="A99" s="48" t="s">
        <x:v>230</x:v>
      </x:c>
      <x:c r="B99" s="48">
        <x:f>C84</x:f>
      </x:c>
      <x:c r="C99" s="48" t="s">
        <x:v>16</x:v>
      </x:c>
      <x:c r="D99" s="48" t="s">
        <x:v>231</x:v>
      </x:c>
      <x:c r="E99" s="48" t="s">
        <x:v>225</x:v>
      </x:c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</x:row>
    <x:row r="100" spans="1:17" ht="15" customHeight="1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</x:row>
    <x:row r="101" spans="1:17" ht="15" customHeight="1">
      <x:c r="A101" s="46" t="inlineStr">
        <x:is>
          <x:t>10. H1 초기위치 / Review Camera ↔ Scanner 물리 Offset / H2 DOE05 좌표 검증</x:t>
        </x:is>
      </x:c>
      <x:c r="B101" s="46"/>
      <x:c r="C101" s="46"/>
      <x:c r="D101" s="46"/>
      <x:c r="E101" s="46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</x:row>
    <x:row r="102" spans="1:17" ht="15" customHeight="1">
      <x:c r="A102" s="47" t="inlineStr">
        <x:is>
          <x:t>항목</x:t>
        </x:is>
      </x:c>
      <x:c r="B102" s="47" t="inlineStr">
        <x:is>
          <x:t>X</x:t>
        </x:is>
      </x:c>
      <x:c r="C102" s="47" t="inlineStr">
        <x:is>
          <x:t>Y</x:t>
        </x:is>
      </x:c>
      <x:c r="D102" s="47" t="inlineStr">
        <x:is>
          <x:t>단위</x:t>
        </x:is>
      </x:c>
      <x:c r="E102" s="47" t="inlineStr">
        <x:is>
          <x:t>설명</x:t>
        </x:is>
      </x:c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</x:row>
    <x:row r="103" spans="1:17" ht="15" customHeight="1">
      <x:c r="A103" s="48" t="inlineStr">
        <x:is>
          <x:t>Review Camera Center</x:t>
        </x:is>
      </x:c>
      <x:c r="B103" s="48">
        <x:v>105</x:v>
      </x:c>
      <x:c r="C103" s="48">
        <x:v>1200</x:v>
      </x:c>
      <x:c r="D103" s="48" t="inlineStr">
        <x:is>
          <x:t>mm</x:t>
        </x:is>
      </x:c>
      <x:c r="E103" s="48" t="inlineStr">
        <x:is>
          <x:t>Review 이미지 중심의 Machine Global 좌표</x:t>
        </x:is>
      </x:c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</x:row>
    <x:row r="104" spans="1:17" ht="15" customHeight="1">
      <x:c r="A104" s="48" t="inlineStr">
        <x:is>
          <x:t>Camera→H1 Physical Offset</x:t>
        </x:is>
      </x:c>
      <x:c r="B104" s="48">
        <x:v>10</x:v>
      </x:c>
      <x:c r="C104" s="48">
        <x:v>1000</x:v>
      </x:c>
      <x:c r="D104" s="48" t="inlineStr">
        <x:is>
          <x:t>mm</x:t>
        </x:is>
      </x:c>
      <x:c r="E104" s="48" t="inlineStr">
        <x:is>
          <x:t>설계/Teaching으로 관리하는 고정 Geometry</x:t>
        </x:is>
      </x:c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</x:row>
    <x:row r="105" spans="1:17" ht="15" customHeight="1">
      <x:c r="A105" s="48" t="inlineStr">
        <x:is>
          <x:t>H1 Initial Stage</x:t>
        </x:is>
      </x:c>
      <x:c r="B105" s="48">
        <x:v>115</x:v>
      </x:c>
      <x:c r="C105" s="48">
        <x:v>2200</x:v>
      </x:c>
      <x:c r="D105" s="48" t="inlineStr">
        <x:is>
          <x:t>mm</x:t>
        </x:is>
      </x:c>
      <x:c r="E105" s="48" t="inlineStr">
        <x:is>
          <x:t>Scanner 배치의 명시적 시작 중심</x:t>
        </x:is>
      </x:c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</x:row>
    <x:row r="106" spans="1:17" ht="15" customHeight="1">
      <x:c r="A106" s="48" t="inlineStr">
        <x:is>
          <x:t>Expected H1</x:t>
        </x:is>
      </x:c>
      <x:c r="B106" s="48">
        <x:f>B103+B104</x:f>
      </x:c>
      <x:c r="C106" s="48">
        <x:f>C103+C104</x:f>
      </x:c>
      <x:c r="D106" s="48" t="inlineStr">
        <x:is>
          <x:t>mm</x:t>
        </x:is>
      </x:c>
      <x:c r="E106" s="48" t="inlineStr">
        <x:is>
          <x:t>ReviewCenter + Camera→H1 Physical Offset</x:t>
        </x:is>
      </x:c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</x:row>
    <x:row r="107" spans="1:17" ht="15" customHeight="1">
      <x:c r="A107" s="48" t="inlineStr">
        <x:is>
          <x:t>Origin Error</x:t>
        </x:is>
      </x:c>
      <x:c r="B107" s="48">
        <x:f>B105-B106</x:f>
      </x:c>
      <x:c r="C107" s="48">
        <x:f>C105-C106</x:f>
      </x:c>
      <x:c r="D107" s="48" t="inlineStr">
        <x:is>
          <x:t>mm</x:t>
        </x:is>
      </x:c>
      <x:c r="E107" s="48" t="inlineStr">
        <x:is>
          <x:t>H1 Initial - Expected H1</x:t>
        </x:is>
      </x:c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</x:row>
    <x:row r="108" spans="1:17" ht="15" customHeight="1">
      <x:c r="A108" s="48" t="inlineStr">
        <x:is>
          <x:t>Origin Tolerance</x:t>
        </x:is>
      </x:c>
      <x:c r="B108" s="48">
        <x:v>0.001</x:v>
      </x:c>
      <x:c r="C108" s="48">
        <x:v>0.001</x:v>
      </x:c>
      <x:c r="D108" s="48" t="inlineStr">
        <x:is>
          <x:t>mm</x:t>
        </x:is>
      </x:c>
      <x:c r="E108" s="48" t="inlineStr">
        <x:is>
          <x:t>H1 Initial과 기대값 허용오차</x:t>
        </x:is>
      </x:c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</x:row>
    <x:row r="109" spans="1:17" ht="15" customHeight="1">
      <x:c r="A109" s="48" t="inlineStr">
        <x:is>
          <x:t>Origin Valid</x:t>
        </x:is>
      </x:c>
      <x:c r="B109" s="48">
        <x:f>AND(ABS(B107)&lt;=B108,ABS(C107)&lt;=C108)</x:f>
      </x:c>
      <x:c r="C109" s="48" t="inlineStr">
        <x:is>
          <x:t>TRUE</x:t>
        </x:is>
      </x:c>
      <x:c r="D109" s="48" t="inlineStr">
        <x:is>
          <x:t>-</x:t>
        </x:is>
      </x:c>
      <x:c r="E109" s="48" t="inlineStr">
        <x:is>
          <x:t>불일치 시 실제 장비에서는 Plan 생성을 차단해야 함</x:t>
        </x:is>
      </x:c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</x:row>
    <x:row r="110" spans="1:17" ht="15" customHeight="1">
      <x:c r="A110" s="48" t="inlineStr">
        <x:is>
          <x:t>Scanner Pitch X / Even Y Offset</x:t>
        </x:is>
      </x:c>
      <x:c r="B110" s="48">
        <x:v>200</x:v>
      </x:c>
      <x:c r="C110" s="48">
        <x:v>60</x:v>
      </x:c>
      <x:c r="D110" s="48" t="inlineStr">
        <x:is>
          <x:t>mm</x:t>
        </x:is>
      </x:c>
      <x:c r="E110" s="48" t="inlineStr">
        <x:is>
          <x:t>H2는 H1에서 X +200, Y +60</x:t>
        </x:is>
      </x:c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</x:row>
    <x:row r="111" spans="1:17" ht="15" customHeight="1">
      <x:c r="A111" s="48" t="inlineStr">
        <x:is>
          <x:t>H2 Initial Center</x:t>
        </x:is>
      </x:c>
      <x:c r="B111" s="48">
        <x:f>B105+B110</x:f>
      </x:c>
      <x:c r="C111" s="48">
        <x:f>C105+C110</x:f>
      </x:c>
      <x:c r="D111" s="48" t="inlineStr">
        <x:is>
          <x:t>mm</x:t>
        </x:is>
      </x:c>
      <x:c r="E111" s="48" t="inlineStr">
        <x:is>
          <x:t>H1 + ScannerPitchX + EvenScannerYOffset</x:t>
        </x:is>
      </x:c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</x:row>
    <x:row r="112" spans="1:17" ht="15" customHeight="1">
      <x:c r="A112" s="48" t="inlineStr">
        <x:is>
          <x:t>Camera→H2 Physical Offset</x:t>
        </x:is>
      </x:c>
      <x:c r="B112" s="48">
        <x:f>B111-B103</x:f>
      </x:c>
      <x:c r="C112" s="48">
        <x:f>C111-C103</x:f>
      </x:c>
      <x:c r="D112" s="48" t="inlineStr">
        <x:is>
          <x:t>mm</x:t>
        </x:is>
      </x:c>
      <x:c r="E112" s="48" t="inlineStr">
        <x:is>
          <x:t>H2 Center - Review Camera Center</x:t>
        </x:is>
      </x:c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</x:row>
    <x:row r="113" spans="1:17" ht="15" customHeight="1">
      <x:c r="A113" s="48" t="inlineStr">
        <x:is>
          <x:t>DOE05 Scanner Offset</x:t>
        </x:is>
      </x:c>
      <x:c r="B113" s="48">
        <x:v>-0.27</x:v>
      </x:c>
      <x:c r="C113" s="48">
        <x:v>-0.09</x:v>
      </x:c>
      <x:c r="D113" s="48" t="inlineStr">
        <x:is>
          <x:t>mm</x:t>
        </x:is>
      </x:c>
      <x:c r="E113" s="48" t="inlineStr">
        <x:is>
          <x:t>4×4 DOE 내부 Scanner 축 Offset</x:t>
        </x:is>
      </x:c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</x:row>
    <x:row r="114" spans="1:17" ht="15" customHeight="1">
      <x:c r="A114" s="48" t="inlineStr">
        <x:is>
          <x:t>DOE05 Stage Offset</x:t>
        </x:is>
      </x:c>
      <x:c r="B114" s="48">
        <x:v>-0.27</x:v>
      </x:c>
      <x:c r="C114" s="48">
        <x:v>0.09</x:v>
      </x:c>
      <x:c r="D114" s="48" t="inlineStr">
        <x:is>
          <x:t>mm</x:t>
        </x:is>
      </x:c>
      <x:c r="E114" s="48" t="inlineStr">
        <x:is>
          <x:t>H2 Even 축 변환 후 실제 Stage Offset</x:t>
        </x:is>
      </x:c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</x:row>
    <x:row r="115" spans="1:17" ht="15" customHeight="1">
      <x:c r="A115" s="48" t="inlineStr">
        <x:is>
          <x:t>B1 좌표 검증</x:t>
        </x:is>
      </x:c>
      <x:c r="B115" s="48" t="inlineStr">
        <x:is>
          <x:t>X</x:t>
        </x:is>
      </x:c>
      <x:c r="C115" s="48" t="inlineStr">
        <x:is>
          <x:t>Y</x:t>
        </x:is>
      </x:c>
      <x:c r="D115" s="48" t="inlineStr">
        <x:is>
          <x:t>mm</x:t>
        </x:is>
      </x:c>
      <x:c r="E115" s="48" t="inlineStr">
        <x:is>
          <x:t>첨부 화면의 Process/Review 값 비교</x:t>
        </x:is>
      </x:c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</x:row>
    <x:row r="116" spans="1:17" ht="15" customHeight="1">
      <x:c r="A116" s="48" t="inlineStr">
        <x:is>
          <x:t>B1 Process Gx/Gy</x:t>
        </x:is>
      </x:c>
      <x:c r="B116" s="48">
        <x:v>-99.83</x:v>
      </x:c>
      <x:c r="C116" s="48">
        <x:v>1024.804</x:v>
      </x:c>
      <x:c r="D116" s="48" t="inlineStr">
        <x:is>
          <x:t>mm</x:t>
        </x:is>
      </x:c>
      <x:c r="E116" s="48" t="inlineStr">
        <x:is>
          <x:t>H2 Even Scanner Field 명령 좌표</x:t>
        </x:is>
      </x:c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</x:row>
    <x:row r="117" spans="1:17" ht="15" customHeight="1">
      <x:c r="A117" s="48" t="inlineStr">
        <x:is>
          <x:t>H2 ScannerRelative Stage</x:t>
        </x:is>
      </x:c>
      <x:c r="B117" s="48">
        <x:f>B116</x:f>
      </x:c>
      <x:c r="C117" s="48">
        <x:f>-C116</x:f>
      </x:c>
      <x:c r="D117" s="48" t="inlineStr">
        <x:is>
          <x:t>mm</x:t>
        </x:is>
      </x:c>
      <x:c r="E117" s="48" t="inlineStr">
        <x:is>
          <x:t>H2 Even: Dx=Gx, Dy=-Gy</x:t>
        </x:is>
      </x:c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</x:row>
    <x:row r="118" spans="1:17" ht="15" customHeight="1">
      <x:c r="A118" s="48" t="inlineStr">
        <x:is>
          <x:t>B1 Process Stage</x:t>
        </x:is>
      </x:c>
      <x:c r="B118" s="48">
        <x:f>B117+B111</x:f>
      </x:c>
      <x:c r="C118" s="48">
        <x:f>C117+C111</x:f>
      </x:c>
      <x:c r="D118" s="48" t="inlineStr">
        <x:is>
          <x:t>mm</x:t>
        </x:is>
      </x:c>
      <x:c r="E118" s="48" t="inlineStr">
        <x:is>
          <x:t>ScannerRelative + H2 Center</x:t>
        </x:is>
      </x:c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</x:row>
    <x:row r="119" spans="1:17" ht="15" customHeight="1">
      <x:c r="A119" s="48" t="inlineStr">
        <x:is>
          <x:t>B1 Review Camera / DOE05</x:t>
        </x:is>
      </x:c>
      <x:c r="B119" s="48">
        <x:f>B117+B112+B114</x:f>
      </x:c>
      <x:c r="C119" s="48">
        <x:f>C117+C112+C114</x:f>
      </x:c>
      <x:c r="D119" s="48" t="inlineStr">
        <x:is>
          <x:t>mm</x:t>
        </x:is>
      </x:c>
      <x:c r="E119" s="48" t="inlineStr">
        <x:is>
          <x:t>ScannerRelative + PhysicalOffset + DoeStageOffset</x:t>
        </x:is>
      </x:c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</x:row>
    <x:row r="120" spans="1:17" ht="15" customHeight="1">
      <x:c r="A120" s="48" t="inlineStr">
        <x:is>
          <x:t>동일식 검증</x:t>
        </x:is>
      </x:c>
      <x:c r="B120" s="48">
        <x:f>B118-B103+B114</x:f>
      </x:c>
      <x:c r="C120" s="48">
        <x:f>C118-C103+C114</x:f>
      </x:c>
      <x:c r="D120" s="48" t="inlineStr">
        <x:is>
          <x:t>mm</x:t>
        </x:is>
      </x:c>
      <x:c r="E120" s="48" t="inlineStr">
        <x:is>
          <x:t>ProcessStage - ReviewCenter + DoeStageOffset</x:t>
        </x:is>
      </x:c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</x:row>
  </x:sheetData>
  <x:mergeCells count="11">
    <x:mergeCell ref="A1:Q2"/>
    <x:mergeCell ref="A4:Q4"/>
    <x:mergeCell ref="A13:Q13"/>
    <x:mergeCell ref="A24:Q24"/>
    <x:mergeCell ref="A33:Q33"/>
    <x:mergeCell ref="A40:Q40"/>
    <x:mergeCell ref="A51:Q51"/>
    <x:mergeCell ref="A63:Q63"/>
    <x:mergeCell ref="A75:Q75"/>
    <x:mergeCell ref="A87:Q87"/>
    <x:mergeCell ref="A101:Q10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2563EB"/>
    <x:outlinePr summaryBelow="1" summaryRight="1"/>
    <x:pageSetUpPr fitToPage="1"/>
  </x:sheetPr>
  <x:dimension ref="A1:H30"/>
  <x:sheetViews>
    <x:sheetView showGridLines="0" workbookViewId="0">
      <x:pane xSplit="0" ySplit="3" topLeftCell="A4" activePane="bottomLeft" state="frozenSplit"/>
    </x:sheetView>
  </x:sheetViews>
  <x:sheetFormatPr defaultRowHeight="15"/>
  <x:cols>
    <x:col min="9" max="16384" width="9.140625" style="49" customWidth="1"/>
    <x:col min="1" max="1" width="20.710625" style="49" customWidth="1"/>
    <x:col min="2" max="2" width="58.710625" style="49" customWidth="1"/>
    <x:col min="3" max="3" width="26.710625" style="49" customWidth="1"/>
    <x:col min="4" max="4" width="34.710625" style="49" customWidth="1"/>
    <x:col min="5" max="8" width="20.710625" style="49" customWidth="1"/>
  </x:cols>
  <x:sheetData>
    <x:row r="1" spans="1:8" ht="28" customHeight="1">
      <x:c r="A1" s="51" t="s">
        <x:v>523</x:v>
      </x:c>
      <x:c r="B1" s="51"/>
      <x:c r="C1" s="51"/>
      <x:c r="D1" s="51"/>
      <x:c r="E1" s="51"/>
      <x:c r="F1" s="51"/>
      <x:c r="G1" s="51"/>
      <x:c r="H1" s="51"/>
    </x:row>
    <x:row r="2" spans="1:8" ht="12" customHeight="1">
      <x:c r="A2" s="51"/>
      <x:c r="B2" s="51"/>
      <x:c r="C2" s="51"/>
      <x:c r="D2" s="51"/>
      <x:c r="E2" s="51"/>
      <x:c r="F2" s="51"/>
      <x:c r="G2" s="51"/>
      <x:c r="H2" s="51"/>
    </x:row>
    <x:row r="3" spans="1:8">
      <x:c r="A3" s="100" t="s">
        <x:v>524</x:v>
      </x:c>
      <x:c r="B3" s="100"/>
      <x:c r="C3" s="100"/>
      <x:c r="D3" s="100"/>
      <x:c r="E3" s="100"/>
      <x:c r="F3" s="100"/>
      <x:c r="G3" s="100"/>
      <x:c r="H3" s="100"/>
    </x:row>
    <x:row r="5" spans="1:8" ht="24" customHeight="1">
      <x:c r="A5" s="91" t="s">
        <x:v>525</x:v>
      </x:c>
      <x:c r="B5" s="91"/>
      <x:c r="C5" s="91"/>
      <x:c r="D5" s="91"/>
      <x:c r="E5" s="91"/>
      <x:c r="F5" s="91"/>
      <x:c r="G5" s="91"/>
      <x:c r="H5" s="91"/>
    </x:row>
    <x:row r="6" spans="1:8">
      <x:c r="A6" s="55" t="s">
        <x:v>2</x:v>
      </x:c>
      <x:c r="B6" s="55" t="s">
        <x:v>526</x:v>
      </x:c>
      <x:c r="C6" s="55" t="s">
        <x:v>527</x:v>
      </x:c>
    </x:row>
    <x:row r="7" spans="1:8">
      <x:c r="A7" s="57" t="s">
        <x:v>528</x:v>
      </x:c>
      <x:c r="B7" s="58" t="s">
        <x:v>529</x:v>
      </x:c>
      <x:c r="C7" s="60" t="s">
        <x:v>530</x:v>
      </x:c>
    </x:row>
    <x:row r="8" spans="1:8">
      <x:c r="A8" s="61" t="s">
        <x:v>531</x:v>
      </x:c>
      <x:c r="B8" s="62" t="s">
        <x:v>532</x:v>
      </x:c>
      <x:c r="C8" s="64" t="s">
        <x:v>533</x:v>
      </x:c>
    </x:row>
    <x:row r="9" spans="1:8">
      <x:c r="A9" s="61" t="s">
        <x:v>534</x:v>
      </x:c>
      <x:c r="B9" s="62" t="s">
        <x:v>535</x:v>
      </x:c>
      <x:c r="C9" s="64" t="s">
        <x:v>536</x:v>
      </x:c>
    </x:row>
    <x:row r="10" spans="1:8">
      <x:c r="A10" s="61" t="s">
        <x:v>537</x:v>
      </x:c>
      <x:c r="B10" s="62" t="s">
        <x:v>538</x:v>
      </x:c>
      <x:c r="C10" s="64" t="s">
        <x:v>539</x:v>
      </x:c>
    </x:row>
    <x:row r="11" spans="1:8">
      <x:c r="A11" s="61" t="s">
        <x:v>540</x:v>
      </x:c>
      <x:c r="B11" s="62" t="s">
        <x:v>541</x:v>
      </x:c>
      <x:c r="C11" s="64" t="s">
        <x:v>542</x:v>
      </x:c>
    </x:row>
    <x:row r="12" spans="1:8">
      <x:c r="A12" s="65" t="s">
        <x:v>543</x:v>
      </x:c>
      <x:c r="B12" s="66" t="s">
        <x:v>544</x:v>
      </x:c>
      <x:c r="C12" s="68" t="s">
        <x:v>545</x:v>
      </x:c>
    </x:row>
    <x:row r="14" spans="1:8" ht="24" customHeight="1">
      <x:c r="A14" s="91" t="s">
        <x:v>546</x:v>
      </x:c>
      <x:c r="B14" s="91"/>
      <x:c r="C14" s="91"/>
      <x:c r="D14" s="91"/>
      <x:c r="E14" s="91"/>
      <x:c r="F14" s="91"/>
      <x:c r="G14" s="91"/>
      <x:c r="H14" s="91"/>
    </x:row>
    <x:row r="16" spans="1:8" ht="48" customHeight="1">
      <x:c r="A16" s="101" t="s">
        <x:v>547</x:v>
      </x:c>
      <x:c r="B16" s="101" t="s">
        <x:v>549</x:v>
      </x:c>
      <x:c r="C16" s="101" t="s">
        <x:v>550</x:v>
      </x:c>
      <x:c r="D16" s="101" t="s">
        <x:v>551</x:v>
      </x:c>
      <x:c r="E16" s="102" t="s">
        <x:v>552</x:v>
      </x:c>
      <x:c r="F16" s="102" t="s">
        <x:v>553</x:v>
      </x:c>
      <x:c r="G16" s="101" t="s">
        <x:v>554</x:v>
      </x:c>
    </x:row>
    <x:row r="17" spans="1:8">
      <x:c r="A17" s="49" t="s">
        <x:v>548</x:v>
      </x:c>
      <x:c r="B17" s="49" t="s">
        <x:v>548</x:v>
      </x:c>
      <x:c r="C17" s="49" t="s">
        <x:v>548</x:v>
      </x:c>
      <x:c r="D17" s="49" t="s">
        <x:v>548</x:v>
      </x:c>
      <x:c r="E17" s="49" t="s">
        <x:v>548</x:v>
      </x:c>
      <x:c r="F17" s="49" t="s">
        <x:v>548</x:v>
      </x:c>
    </x:row>
    <x:row r="20" spans="1:8" ht="24" customHeight="1">
      <x:c r="A20" s="91" t="s">
        <x:v>555</x:v>
      </x:c>
      <x:c r="B20" s="91"/>
      <x:c r="C20" s="91"/>
      <x:c r="D20" s="91"/>
      <x:c r="E20" s="91"/>
      <x:c r="F20" s="91"/>
      <x:c r="G20" s="91"/>
      <x:c r="H20" s="91"/>
    </x:row>
    <x:row r="21" spans="1:8">
      <x:c r="A21" s="55" t="s">
        <x:v>448</x:v>
      </x:c>
      <x:c r="B21" s="55" t="s">
        <x:v>556</x:v>
      </x:c>
      <x:c r="C21" s="55" t="s">
        <x:v>557</x:v>
      </x:c>
      <x:c r="D21" s="55" t="s">
        <x:v>558</x:v>
      </x:c>
    </x:row>
    <x:row r="22" spans="1:8">
      <x:c r="A22" s="57" t="s">
        <x:v>559</x:v>
      </x:c>
      <x:c r="B22" s="58" t="s">
        <x:v>560</x:v>
      </x:c>
      <x:c r="C22" s="58" t="s">
        <x:v>561</x:v>
      </x:c>
      <x:c r="D22" s="60" t="s">
        <x:v>562</x:v>
      </x:c>
    </x:row>
    <x:row r="23" spans="1:8">
      <x:c r="A23" s="61" t="s">
        <x:v>563</x:v>
      </x:c>
      <x:c r="B23" s="62" t="s">
        <x:v>564</x:v>
      </x:c>
      <x:c r="C23" s="62" t="s">
        <x:v>565</x:v>
      </x:c>
      <x:c r="D23" s="64" t="s">
        <x:v>566</x:v>
      </x:c>
    </x:row>
    <x:row r="24" spans="1:8">
      <x:c r="A24" s="61" t="s">
        <x:v>567</x:v>
      </x:c>
      <x:c r="B24" s="62" t="s">
        <x:v>568</x:v>
      </x:c>
      <x:c r="C24" s="62" t="s">
        <x:v>569</x:v>
      </x:c>
      <x:c r="D24" s="64" t="s">
        <x:v>570</x:v>
      </x:c>
    </x:row>
    <x:row r="25" spans="1:8">
      <x:c r="A25" s="65" t="s">
        <x:v>571</x:v>
      </x:c>
      <x:c r="B25" s="66" t="s">
        <x:v>572</x:v>
      </x:c>
      <x:c r="C25" s="66" t="s">
        <x:v>573</x:v>
      </x:c>
      <x:c r="D25" s="68" t="s">
        <x:v>574</x:v>
      </x:c>
    </x:row>
    <x:row r="28" spans="1:8">
      <x:c r="A28" s="103" t="s">
        <x:v>575</x:v>
      </x:c>
      <x:c r="B28" s="104" t="s">
        <x:v>576</x:v>
      </x:c>
    </x:row>
    <x:row r="29" spans="1:8">
      <x:c r="A29" s="105"/>
      <x:c r="B29" s="106" t="s">
        <x:v>577</x:v>
      </x:c>
    </x:row>
    <x:row r="30" spans="1:8">
      <x:c r="A30" s="107"/>
      <x:c r="B30" s="108" t="s">
        <x:v>578</x:v>
      </x:c>
    </x:row>
  </x:sheetData>
  <x:mergeCells count="5">
    <x:mergeCell ref="A1:H2"/>
    <x:mergeCell ref="A3:H3"/>
    <x:mergeCell ref="A5:H5"/>
    <x:mergeCell ref="A14:H14"/>
    <x:mergeCell ref="A20:H20"/>
  </x:mergeCells>
  <x:printOptions horizontalCentered="0" verticalCentered="0" headings="0" gridLines="0"/>
  <x:pageMargins left="0.25" right="0.25" top="0.4" bottom="0.4" header="0.5" footer="0.75"/>
  <x:pageSetup paperSize="1" fitToHeight="0" pageOrder="downThenOver" orientation="landscape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EAB308"/>
    <x:outlinePr summaryBelow="1" summaryRight="1"/>
    <x:pageSetUpPr fitToPage="1"/>
  </x:sheetPr>
  <x:dimension ref="A1:F49"/>
  <x:sheetViews>
    <x:sheetView showGridLines="0" workbookViewId="0">
      <x:pane xSplit="0" ySplit="5" topLeftCell="A6" activePane="bottomLeft" state="frozenSplit"/>
    </x:sheetView>
  </x:sheetViews>
  <x:sheetFormatPr defaultRowHeight="15"/>
  <x:cols>
    <x:col min="7" max="16384" width="9.140625" style="49" customWidth="1"/>
    <x:col min="1" max="1" width="18.710625" style="49" customWidth="1"/>
    <x:col min="2" max="2" width="32.710625" style="49" customWidth="1"/>
    <x:col min="3" max="3" width="18.710625" style="50" customWidth="1"/>
    <x:col min="4" max="4" width="14.710625" style="49" customWidth="1"/>
    <x:col min="5" max="5" width="20.710625" style="49" customWidth="1"/>
    <x:col min="6" max="6" width="68.710625" style="49" customWidth="1"/>
  </x:cols>
  <x:sheetData>
    <x:row r="1" spans="1:6" ht="28" customHeight="1">
      <x:c r="A1" s="51" t="s">
        <x:v>232</x:v>
      </x:c>
      <x:c r="B1" s="51"/>
      <x:c r="C1" s="52"/>
      <x:c r="D1" s="51"/>
      <x:c r="E1" s="51"/>
      <x:c r="F1" s="51"/>
    </x:row>
    <x:row r="2" spans="1:6" ht="12" customHeight="1">
      <x:c r="A2" s="51"/>
      <x:c r="B2" s="51"/>
      <x:c r="C2" s="52"/>
      <x:c r="D2" s="51"/>
      <x:c r="E2" s="51"/>
      <x:c r="F2" s="51"/>
    </x:row>
    <x:row r="3" spans="1:6">
      <x:c r="A3" s="53" t="s">
        <x:v>233</x:v>
      </x:c>
      <x:c r="B3" s="53"/>
      <x:c r="C3" s="54"/>
      <x:c r="D3" s="53"/>
      <x:c r="E3" s="53"/>
      <x:c r="F3" s="53"/>
    </x:row>
    <x:row r="5" spans="1:6">
      <x:c r="A5" s="55" t="s">
        <x:v>234</x:v>
      </x:c>
      <x:c r="B5" s="55" t="s">
        <x:v>235</x:v>
      </x:c>
      <x:c r="C5" s="56" t="s">
        <x:v>236</x:v>
      </x:c>
      <x:c r="D5" s="55" t="s">
        <x:v>237</x:v>
      </x:c>
      <x:c r="E5" s="55" t="s">
        <x:v>238</x:v>
      </x:c>
      <x:c r="F5" s="55" t="s">
        <x:v>239</x:v>
      </x:c>
    </x:row>
    <x:row r="6" spans="1:6">
      <x:c r="A6" s="57" t="s">
        <x:v>240</x:v>
      </x:c>
      <x:c r="B6" s="58" t="s">
        <x:v>241</x:v>
      </x:c>
      <x:c r="C6" s="59">
        <x:v>1500</x:v>
      </x:c>
      <x:c r="D6" s="58" t="s">
        <x:v>16</x:v>
      </x:c>
      <x:c r="E6" s="58" t="s">
        <x:v>242</x:v>
      </x:c>
      <x:c r="F6" s="60" t="s">
        <x:v>243</x:v>
      </x:c>
    </x:row>
    <x:row r="7" spans="1:6">
      <x:c r="A7" s="61" t="s">
        <x:v>240</x:v>
      </x:c>
      <x:c r="B7" s="62" t="s">
        <x:v>244</x:v>
      </x:c>
      <x:c r="C7" s="63">
        <x:v>925</x:v>
      </x:c>
      <x:c r="D7" s="62" t="s">
        <x:v>16</x:v>
      </x:c>
      <x:c r="E7" s="62" t="s">
        <x:v>242</x:v>
      </x:c>
      <x:c r="F7" s="64" t="s">
        <x:v>245</x:v>
      </x:c>
    </x:row>
    <x:row r="8" spans="1:6">
      <x:c r="A8" s="61" t="s">
        <x:v>240</x:v>
      </x:c>
      <x:c r="B8" s="62" t="s">
        <x:v>246</x:v>
      </x:c>
      <x:c r="C8" s="63">
        <x:v>55</x:v>
      </x:c>
      <x:c r="D8" s="62" t="s">
        <x:v>16</x:v>
      </x:c>
      <x:c r="E8" s="62" t="s">
        <x:v>242</x:v>
      </x:c>
      <x:c r="F8" s="64" t="s">
        <x:v>247</x:v>
      </x:c>
    </x:row>
    <x:row r="9" spans="1:6">
      <x:c r="A9" s="61" t="s">
        <x:v>240</x:v>
      </x:c>
      <x:c r="B9" s="62" t="s">
        <x:v>248</x:v>
      </x:c>
      <x:c r="C9" s="63">
        <x:v>45</x:v>
      </x:c>
      <x:c r="D9" s="62" t="s">
        <x:v>16</x:v>
      </x:c>
      <x:c r="E9" s="62" t="s">
        <x:v>242</x:v>
      </x:c>
      <x:c r="F9" s="64" t="s">
        <x:v>249</x:v>
      </x:c>
    </x:row>
    <x:row r="10" spans="1:6">
      <x:c r="A10" s="61" t="s">
        <x:v>250</x:v>
      </x:c>
      <x:c r="B10" s="62" t="s">
        <x:v>251</x:v>
      </x:c>
      <x:c r="C10" s="63">
        <x:v>0</x:v>
      </x:c>
      <x:c r="D10" s="62" t="s">
        <x:v>16</x:v>
      </x:c>
      <x:c r="E10" s="62" t="s">
        <x:v>252</x:v>
      </x:c>
      <x:c r="F10" s="64" t="s">
        <x:v>253</x:v>
      </x:c>
    </x:row>
    <x:row r="11" spans="1:6">
      <x:c r="A11" s="61" t="s">
        <x:v>250</x:v>
      </x:c>
      <x:c r="B11" s="62" t="s">
        <x:v>254</x:v>
      </x:c>
      <x:c r="C11" s="63">
        <x:v>1</x:v>
      </x:c>
      <x:c r="D11" s="62" t="s">
        <x:v>255</x:v>
      </x:c>
      <x:c r="E11" s="62" t="s">
        <x:v>252</x:v>
      </x:c>
      <x:c r="F11" s="64" t="s">
        <x:v>256</x:v>
      </x:c>
    </x:row>
    <x:row r="12" spans="1:6">
      <x:c r="A12" s="61" t="s">
        <x:v>257</x:v>
      </x:c>
      <x:c r="B12" s="62" t="s">
        <x:v>258</x:v>
      </x:c>
      <x:c r="C12" s="63">
        <x:v>105</x:v>
      </x:c>
      <x:c r="D12" s="62" t="s">
        <x:v>16</x:v>
      </x:c>
      <x:c r="E12" s="62" t="s">
        <x:v>259</x:v>
      </x:c>
      <x:c r="F12" s="64" t="s">
        <x:v>260</x:v>
      </x:c>
    </x:row>
    <x:row r="13" spans="1:6">
      <x:c r="A13" s="61" t="s">
        <x:v>257</x:v>
      </x:c>
      <x:c r="B13" s="62" t="s">
        <x:v>261</x:v>
      </x:c>
      <x:c r="C13" s="63">
        <x:v>1200</x:v>
      </x:c>
      <x:c r="D13" s="62" t="s">
        <x:v>16</x:v>
      </x:c>
      <x:c r="E13" s="62" t="s">
        <x:v>259</x:v>
      </x:c>
      <x:c r="F13" s="64" t="s">
        <x:v>262</x:v>
      </x:c>
    </x:row>
    <x:row r="14" spans="1:6">
      <x:c r="A14" s="61" t="s">
        <x:v>257</x:v>
      </x:c>
      <x:c r="B14" s="62" t="s">
        <x:v>263</x:v>
      </x:c>
      <x:c r="C14" s="63">
        <x:v>1224</x:v>
      </x:c>
      <x:c r="D14" s="62" t="s">
        <x:v>38</x:v>
      </x:c>
      <x:c r="E14" s="62" t="s">
        <x:v>259</x:v>
      </x:c>
      <x:c r="F14" s="64" t="s">
        <x:v>264</x:v>
      </x:c>
    </x:row>
    <x:row r="15" spans="1:6">
      <x:c r="A15" s="61" t="s">
        <x:v>257</x:v>
      </x:c>
      <x:c r="B15" s="62" t="s">
        <x:v>265</x:v>
      </x:c>
      <x:c r="C15" s="63">
        <x:v>1024</x:v>
      </x:c>
      <x:c r="D15" s="62" t="s">
        <x:v>38</x:v>
      </x:c>
      <x:c r="E15" s="62" t="s">
        <x:v>259</x:v>
      </x:c>
      <x:c r="F15" s="64" t="s">
        <x:v>266</x:v>
      </x:c>
    </x:row>
    <x:row r="16" spans="1:6">
      <x:c r="A16" s="61" t="s">
        <x:v>257</x:v>
      </x:c>
      <x:c r="B16" s="62" t="s">
        <x:v>267</x:v>
      </x:c>
      <x:c r="C16" s="63">
        <x:v>0.00345</x:v>
      </x:c>
      <x:c r="D16" s="62" t="s">
        <x:v>41</x:v>
      </x:c>
      <x:c r="E16" s="62" t="s">
        <x:v>259</x:v>
      </x:c>
      <x:c r="F16" s="64" t="s">
        <x:v>268</x:v>
      </x:c>
    </x:row>
    <x:row r="17" spans="1:6">
      <x:c r="A17" s="61" t="s">
        <x:v>257</x:v>
      </x:c>
      <x:c r="B17" s="62" t="s">
        <x:v>269</x:v>
      </x:c>
      <x:c r="C17" s="63">
        <x:v>0.00345</x:v>
      </x:c>
      <x:c r="D17" s="62" t="s">
        <x:v>41</x:v>
      </x:c>
      <x:c r="E17" s="62" t="s">
        <x:v>259</x:v>
      </x:c>
      <x:c r="F17" s="64" t="s">
        <x:v>270</x:v>
      </x:c>
    </x:row>
    <x:row r="18" spans="1:6">
      <x:c r="A18" s="61" t="s">
        <x:v>271</x:v>
      </x:c>
      <x:c r="B18" s="62" t="s">
        <x:v>272</x:v>
      </x:c>
      <x:c r="C18" s="63">
        <x:v>1282</x:v>
      </x:c>
      <x:c r="D18" s="62" t="s">
        <x:v>38</x:v>
      </x:c>
      <x:c r="E18" s="62" t="s">
        <x:v>273</x:v>
      </x:c>
      <x:c r="F18" s="64" t="s">
        <x:v>274</x:v>
      </x:c>
    </x:row>
    <x:row r="19" spans="1:6">
      <x:c r="A19" s="61" t="s">
        <x:v>271</x:v>
      </x:c>
      <x:c r="B19" s="62" t="s">
        <x:v>275</x:v>
      </x:c>
      <x:c r="C19" s="63">
        <x:v>1053</x:v>
      </x:c>
      <x:c r="D19" s="62" t="s">
        <x:v>38</x:v>
      </x:c>
      <x:c r="E19" s="62" t="s">
        <x:v>273</x:v>
      </x:c>
      <x:c r="F19" s="64" t="s">
        <x:v>276</x:v>
      </x:c>
    </x:row>
    <x:row r="20" spans="1:6">
      <x:c r="A20" s="61" t="s">
        <x:v>271</x:v>
      </x:c>
      <x:c r="B20" s="62" t="s">
        <x:v>277</x:v>
      </x:c>
      <x:c r="C20" s="63">
        <x:v>0.05</x:v>
      </x:c>
      <x:c r="D20" s="62" t="s">
        <x:v>12</x:v>
      </x:c>
      <x:c r="E20" s="62" t="s">
        <x:v>273</x:v>
      </x:c>
      <x:c r="F20" s="64" t="s">
        <x:v>278</x:v>
      </x:c>
    </x:row>
    <x:row r="21" spans="1:6">
      <x:c r="A21" s="61" t="s">
        <x:v>279</x:v>
      </x:c>
      <x:c r="B21" s="62" t="s">
        <x:v>280</x:v>
      </x:c>
      <x:c r="C21" s="63">
        <x:v>50</x:v>
      </x:c>
      <x:c r="D21" s="62" t="s">
        <x:v>16</x:v>
      </x:c>
      <x:c r="E21" s="62" t="s">
        <x:v>242</x:v>
      </x:c>
      <x:c r="F21" s="64" t="s">
        <x:v>281</x:v>
      </x:c>
    </x:row>
    <x:row r="22" spans="1:6">
      <x:c r="A22" s="61" t="s">
        <x:v>279</x:v>
      </x:c>
      <x:c r="B22" s="62" t="s">
        <x:v>282</x:v>
      </x:c>
      <x:c r="C22" s="63">
        <x:v>35</x:v>
      </x:c>
      <x:c r="D22" s="62" t="s">
        <x:v>16</x:v>
      </x:c>
      <x:c r="E22" s="62" t="s">
        <x:v>242</x:v>
      </x:c>
      <x:c r="F22" s="64" t="s">
        <x:v>283</x:v>
      </x:c>
    </x:row>
    <x:row r="23" spans="1:6">
      <x:c r="A23" s="61" t="s">
        <x:v>279</x:v>
      </x:c>
      <x:c r="B23" s="62" t="s">
        <x:v>284</x:v>
      </x:c>
      <x:c r="C23" s="63">
        <x:v>50</x:v>
      </x:c>
      <x:c r="D23" s="62" t="s">
        <x:v>16</x:v>
      </x:c>
      <x:c r="E23" s="62" t="s">
        <x:v>242</x:v>
      </x:c>
      <x:c r="F23" s="64" t="s">
        <x:v>285</x:v>
      </x:c>
    </x:row>
    <x:row r="24" spans="1:6">
      <x:c r="A24" s="61" t="s">
        <x:v>279</x:v>
      </x:c>
      <x:c r="B24" s="62" t="s">
        <x:v>286</x:v>
      </x:c>
      <x:c r="C24" s="63">
        <x:v>45</x:v>
      </x:c>
      <x:c r="D24" s="62" t="s">
        <x:v>16</x:v>
      </x:c>
      <x:c r="E24" s="62" t="s">
        <x:v>242</x:v>
      </x:c>
      <x:c r="F24" s="64" t="s">
        <x:v>287</x:v>
      </x:c>
    </x:row>
    <x:row r="25" spans="1:6">
      <x:c r="A25" s="61" t="s">
        <x:v>279</x:v>
      </x:c>
      <x:c r="B25" s="62" t="s">
        <x:v>288</x:v>
      </x:c>
      <x:c r="C25" s="63">
        <x:v>10</x:v>
      </x:c>
      <x:c r="D25" s="62" t="s">
        <x:v>16</x:v>
      </x:c>
      <x:c r="E25" s="62" t="s">
        <x:v>242</x:v>
      </x:c>
      <x:c r="F25" s="64" t="s">
        <x:v>289</x:v>
      </x:c>
    </x:row>
    <x:row r="26" spans="1:6">
      <x:c r="A26" s="61" t="s">
        <x:v>279</x:v>
      </x:c>
      <x:c r="B26" s="62" t="s">
        <x:v>290</x:v>
      </x:c>
      <x:c r="C26" s="63">
        <x:v>0</x:v>
      </x:c>
      <x:c r="D26" s="62" t="s">
        <x:v>16</x:v>
      </x:c>
      <x:c r="E26" s="62" t="s">
        <x:v>242</x:v>
      </x:c>
      <x:c r="F26" s="64" t="s">
        <x:v>291</x:v>
      </x:c>
    </x:row>
    <x:row r="27" spans="1:6">
      <x:c r="A27" s="61" t="s">
        <x:v>279</x:v>
      </x:c>
      <x:c r="B27" s="62" t="s">
        <x:v>292</x:v>
      </x:c>
      <x:c r="C27" s="63">
        <x:v>10</x:v>
      </x:c>
      <x:c r="D27" s="62" t="s">
        <x:v>293</x:v>
      </x:c>
      <x:c r="E27" s="62" t="s">
        <x:v>242</x:v>
      </x:c>
      <x:c r="F27" s="64" t="s">
        <x:v>294</x:v>
      </x:c>
    </x:row>
    <x:row r="28" spans="1:6">
      <x:c r="A28" s="61" t="s">
        <x:v>279</x:v>
      </x:c>
      <x:c r="B28" s="62" t="s">
        <x:v>295</x:v>
      </x:c>
      <x:c r="C28" s="63">
        <x:v>6</x:v>
      </x:c>
      <x:c r="D28" s="62" t="s">
        <x:v>293</x:v>
      </x:c>
      <x:c r="E28" s="62" t="s">
        <x:v>242</x:v>
      </x:c>
      <x:c r="F28" s="64" t="s">
        <x:v>296</x:v>
      </x:c>
    </x:row>
    <x:row r="29" spans="1:6">
      <x:c r="A29" s="61" t="s">
        <x:v>297</x:v>
      </x:c>
      <x:c r="B29" s="62" t="s">
        <x:v>298</x:v>
      </x:c>
      <x:c r="C29" s="63">
        <x:v>10</x:v>
      </x:c>
      <x:c r="D29" s="62" t="s">
        <x:v>293</x:v>
      </x:c>
      <x:c r="E29" s="62" t="s">
        <x:v>242</x:v>
      </x:c>
      <x:c r="F29" s="64" t="s">
        <x:v>299</x:v>
      </x:c>
    </x:row>
    <x:row r="30" spans="1:6">
      <x:c r="A30" s="61" t="s">
        <x:v>297</x:v>
      </x:c>
      <x:c r="B30" s="62" t="s">
        <x:v>300</x:v>
      </x:c>
      <x:c r="C30" s="63">
        <x:v>3</x:v>
      </x:c>
      <x:c r="D30" s="62" t="s">
        <x:v>293</x:v>
      </x:c>
      <x:c r="E30" s="62" t="s">
        <x:v>242</x:v>
      </x:c>
      <x:c r="F30" s="64" t="s">
        <x:v>301</x:v>
      </x:c>
    </x:row>
    <x:row r="31" spans="1:6">
      <x:c r="A31" s="61" t="s">
        <x:v>297</x:v>
      </x:c>
      <x:c r="B31" s="62" t="s">
        <x:v>302</x:v>
      </x:c>
      <x:c r="C31" s="63">
        <x:v>30</x:v>
      </x:c>
      <x:c r="D31" s="62" t="s">
        <x:v>16</x:v>
      </x:c>
      <x:c r="E31" s="62" t="s">
        <x:v>242</x:v>
      </x:c>
      <x:c r="F31" s="64" t="s">
        <x:v>303</x:v>
      </x:c>
    </x:row>
    <x:row r="32" spans="1:6">
      <x:c r="A32" s="61" t="s">
        <x:v>297</x:v>
      </x:c>
      <x:c r="B32" s="62" t="s">
        <x:v>304</x:v>
      </x:c>
      <x:c r="C32" s="63">
        <x:v>140</x:v>
      </x:c>
      <x:c r="D32" s="62" t="s">
        <x:v>16</x:v>
      </x:c>
      <x:c r="E32" s="62" t="s">
        <x:v>242</x:v>
      </x:c>
      <x:c r="F32" s="64" t="s">
        <x:v>305</x:v>
      </x:c>
    </x:row>
    <x:row r="33" spans="1:6">
      <x:c r="A33" s="61" t="s">
        <x:v>306</x:v>
      </x:c>
      <x:c r="B33" s="62" t="s">
        <x:v>307</x:v>
      </x:c>
      <x:c r="C33" s="63">
        <x:v>8</x:v>
      </x:c>
      <x:c r="D33" s="62" t="s">
        <x:v>293</x:v>
      </x:c>
      <x:c r="E33" s="62" t="s">
        <x:v>252</x:v>
      </x:c>
      <x:c r="F33" s="64" t="s">
        <x:v>308</x:v>
      </x:c>
    </x:row>
    <x:row r="34" spans="1:6">
      <x:c r="A34" s="61" t="s">
        <x:v>306</x:v>
      </x:c>
      <x:c r="B34" s="62" t="s">
        <x:v>309</x:v>
      </x:c>
      <x:c r="C34" s="63">
        <x:v>2</x:v>
      </x:c>
      <x:c r="D34" s="62" t="s">
        <x:v>310</x:v>
      </x:c>
      <x:c r="E34" s="62" t="s">
        <x:v>311</x:v>
      </x:c>
      <x:c r="F34" s="64" t="s">
        <x:v>312</x:v>
      </x:c>
    </x:row>
    <x:row r="35" spans="1:6">
      <x:c r="A35" s="61" t="s">
        <x:v>306</x:v>
      </x:c>
      <x:c r="B35" s="62" t="s">
        <x:v>313</x:v>
      </x:c>
      <x:c r="C35" s="63">
        <x:v>115</x:v>
      </x:c>
      <x:c r="D35" s="62" t="s">
        <x:v>16</x:v>
      </x:c>
      <x:c r="E35" s="62" t="s">
        <x:v>314</x:v>
      </x:c>
      <x:c r="F35" s="64" t="s">
        <x:v>315</x:v>
      </x:c>
    </x:row>
    <x:row r="36" spans="1:6">
      <x:c r="A36" s="61" t="s">
        <x:v>306</x:v>
      </x:c>
      <x:c r="B36" s="62" t="s">
        <x:v>316</x:v>
      </x:c>
      <x:c r="C36" s="63">
        <x:v>2200</x:v>
      </x:c>
      <x:c r="D36" s="62" t="s">
        <x:v>16</x:v>
      </x:c>
      <x:c r="E36" s="62" t="s">
        <x:v>314</x:v>
      </x:c>
      <x:c r="F36" s="64" t="s">
        <x:v>317</x:v>
      </x:c>
    </x:row>
    <x:row r="37" spans="1:6">
      <x:c r="A37" s="61" t="s">
        <x:v>306</x:v>
      </x:c>
      <x:c r="B37" s="62" t="s">
        <x:v>318</x:v>
      </x:c>
      <x:c r="C37" s="63">
        <x:v>0.001</x:v>
      </x:c>
      <x:c r="D37" s="62" t="s">
        <x:v>16</x:v>
      </x:c>
      <x:c r="E37" s="62" t="s">
        <x:v>319</x:v>
      </x:c>
      <x:c r="F37" s="64" t="s">
        <x:v>320</x:v>
      </x:c>
    </x:row>
    <x:row r="38" spans="1:6">
      <x:c r="A38" s="61" t="s">
        <x:v>306</x:v>
      </x:c>
      <x:c r="B38" s="62" t="s">
        <x:v>321</x:v>
      </x:c>
      <x:c r="C38" s="63">
        <x:v>10</x:v>
      </x:c>
      <x:c r="D38" s="62" t="s">
        <x:v>16</x:v>
      </x:c>
      <x:c r="E38" s="62" t="s">
        <x:v>259</x:v>
      </x:c>
      <x:c r="F38" s="64" t="s">
        <x:v>322</x:v>
      </x:c>
    </x:row>
    <x:row r="39" spans="1:6">
      <x:c r="A39" s="61" t="s">
        <x:v>306</x:v>
      </x:c>
      <x:c r="B39" s="62" t="s">
        <x:v>323</x:v>
      </x:c>
      <x:c r="C39" s="63">
        <x:v>1000</x:v>
      </x:c>
      <x:c r="D39" s="62" t="s">
        <x:v>16</x:v>
      </x:c>
      <x:c r="E39" s="62" t="s">
        <x:v>259</x:v>
      </x:c>
      <x:c r="F39" s="64" t="s">
        <x:v>324</x:v>
      </x:c>
    </x:row>
    <x:row r="40" spans="1:6">
      <x:c r="A40" s="61" t="s">
        <x:v>306</x:v>
      </x:c>
      <x:c r="B40" s="62" t="s">
        <x:v>325</x:v>
      </x:c>
      <x:c r="C40" s="63">
        <x:v>200</x:v>
      </x:c>
      <x:c r="D40" s="62" t="s">
        <x:v>16</x:v>
      </x:c>
      <x:c r="E40" s="62" t="s">
        <x:v>252</x:v>
      </x:c>
      <x:c r="F40" s="64" t="s">
        <x:v>326</x:v>
      </x:c>
    </x:row>
    <x:row r="41" spans="1:6">
      <x:c r="A41" s="61" t="s">
        <x:v>306</x:v>
      </x:c>
      <x:c r="B41" s="62" t="s">
        <x:v>327</x:v>
      </x:c>
      <x:c r="C41" s="63">
        <x:v>60</x:v>
      </x:c>
      <x:c r="D41" s="62" t="s">
        <x:v>16</x:v>
      </x:c>
      <x:c r="E41" s="62" t="s">
        <x:v>252</x:v>
      </x:c>
      <x:c r="F41" s="64" t="s">
        <x:v>328</x:v>
      </x:c>
    </x:row>
    <x:row r="42" spans="1:6">
      <x:c r="A42" s="61" t="s">
        <x:v>306</x:v>
      </x:c>
      <x:c r="B42" s="62" t="s">
        <x:v>329</x:v>
      </x:c>
      <x:c r="C42" s="63">
        <x:v>100</x:v>
      </x:c>
      <x:c r="D42" s="62" t="s">
        <x:v>16</x:v>
      </x:c>
      <x:c r="E42" s="62" t="s">
        <x:v>252</x:v>
      </x:c>
      <x:c r="F42" s="64" t="s">
        <x:v>330</x:v>
      </x:c>
    </x:row>
    <x:row r="43" spans="1:6">
      <x:c r="A43" s="61" t="s">
        <x:v>306</x:v>
      </x:c>
      <x:c r="B43" s="62" t="s">
        <x:v>331</x:v>
      </x:c>
      <x:c r="C43" s="63">
        <x:v>100</x:v>
      </x:c>
      <x:c r="D43" s="62" t="s">
        <x:v>16</x:v>
      </x:c>
      <x:c r="E43" s="62" t="s">
        <x:v>332</x:v>
      </x:c>
      <x:c r="F43" s="64" t="s">
        <x:v>333</x:v>
      </x:c>
    </x:row>
    <x:row r="44" spans="1:6">
      <x:c r="A44" s="61" t="s">
        <x:v>257</x:v>
      </x:c>
      <x:c r="B44" s="62" t="s">
        <x:v>334</x:v>
      </x:c>
      <x:c r="C44" s="63">
        <x:v>2</x:v>
      </x:c>
      <x:c r="D44" s="62" t="s">
        <x:v>310</x:v>
      </x:c>
      <x:c r="E44" s="62" t="s">
        <x:v>311</x:v>
      </x:c>
      <x:c r="F44" s="64" t="s">
        <x:v>335</x:v>
      </x:c>
    </x:row>
    <x:row r="45" spans="1:6">
      <x:c r="A45" s="61" t="s">
        <x:v>336</x:v>
      </x:c>
      <x:c r="B45" s="62" t="s">
        <x:v>337</x:v>
      </x:c>
      <x:c r="C45" s="63">
        <x:v>5</x:v>
      </x:c>
      <x:c r="D45" s="62" t="s">
        <x:v>338</x:v>
      </x:c>
      <x:c r="E45" s="62" t="s">
        <x:v>311</x:v>
      </x:c>
      <x:c r="F45" s="64" t="s">
        <x:v>339</x:v>
      </x:c>
    </x:row>
    <x:row r="46" spans="1:6">
      <x:c r="A46" s="61" t="s">
        <x:v>336</x:v>
      </x:c>
      <x:c r="B46" s="62" t="s">
        <x:v>340</x:v>
      </x:c>
      <x:c r="C46" s="63">
        <x:v>0.18</x:v>
      </x:c>
      <x:c r="D46" s="62" t="s">
        <x:v>16</x:v>
      </x:c>
      <x:c r="E46" s="62" t="s">
        <x:v>259</x:v>
      </x:c>
      <x:c r="F46" s="64" t="s">
        <x:v>341</x:v>
      </x:c>
    </x:row>
    <x:row r="47" spans="1:6">
      <x:c r="A47" s="61" t="s">
        <x:v>336</x:v>
      </x:c>
      <x:c r="B47" s="62" t="s">
        <x:v>342</x:v>
      </x:c>
      <x:c r="C47" s="63">
        <x:v>0.18</x:v>
      </x:c>
      <x:c r="D47" s="62" t="s">
        <x:v>16</x:v>
      </x:c>
      <x:c r="E47" s="62" t="s">
        <x:v>259</x:v>
      </x:c>
      <x:c r="F47" s="64" t="s">
        <x:v>343</x:v>
      </x:c>
    </x:row>
    <x:row r="48" spans="1:6">
      <x:c r="A48" s="61" t="s">
        <x:v>344</x:v>
      </x:c>
      <x:c r="B48" s="62" t="s">
        <x:v>345</x:v>
      </x:c>
      <x:c r="C48" s="63">
        <x:v>0</x:v>
      </x:c>
      <x:c r="D48" s="62" t="s">
        <x:v>16</x:v>
      </x:c>
      <x:c r="E48" s="62" t="s">
        <x:v>346</x:v>
      </x:c>
      <x:c r="F48" s="64" t="s">
        <x:v>347</x:v>
      </x:c>
    </x:row>
    <x:row r="49" spans="1:6">
      <x:c r="A49" s="65" t="s">
        <x:v>344</x:v>
      </x:c>
      <x:c r="B49" s="66" t="s">
        <x:v>348</x:v>
      </x:c>
      <x:c r="C49" s="67">
        <x:v>0</x:v>
      </x:c>
      <x:c r="D49" s="66" t="s">
        <x:v>16</x:v>
      </x:c>
      <x:c r="E49" s="66" t="s">
        <x:v>346</x:v>
      </x:c>
      <x:c r="F49" s="68" t="s">
        <x:v>349</x:v>
      </x:c>
    </x:row>
  </x:sheetData>
  <x:autoFilter ref="A5:F49"/>
  <x:mergeCells count="2">
    <x:mergeCell ref="A1:F2"/>
    <x:mergeCell ref="A3:F3"/>
  </x:mergeCells>
  <x:printOptions horizontalCentered="0" verticalCentered="0" headings="0" gridLines="0"/>
  <x:pageMargins left="0.25" right="0.25" top="0.4" bottom="0.4" header="0.5" footer="0.75"/>
  <x:pageSetup paperSize="1" fitToHeight="0" pageOrder="downThenOver" orientation="landscape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0EA5E9"/>
    <x:outlinePr summaryBelow="1" summaryRight="1"/>
    <x:pageSetUpPr fitToPage="1"/>
  </x:sheetPr>
  <x:dimension ref="A1:Q13"/>
  <x:sheetViews>
    <x:sheetView showGridLines="0" workbookViewId="0">
      <x:pane xSplit="0" ySplit="5" topLeftCell="A6" activePane="bottomLeft" state="frozenSplit"/>
    </x:sheetView>
  </x:sheetViews>
  <x:sheetFormatPr defaultRowHeight="15"/>
  <x:cols>
    <x:col min="18" max="16384" width="9.140625" style="49" customWidth="1"/>
    <x:col min="1" max="8" width="15.710625" style="49" customWidth="1"/>
    <x:col min="9" max="9" width="18.710625" style="49" customWidth="1"/>
    <x:col min="10" max="15" width="15.710625" style="49" customWidth="1"/>
    <x:col min="16" max="16" width="22.710625" style="49" customWidth="1"/>
    <x:col min="17" max="17" width="60.710625" style="49" customWidth="1"/>
  </x:cols>
  <x:sheetData>
    <x:row r="1" spans="1:17" ht="28" customHeight="1">
      <x:c r="A1" s="51" t="s">
        <x:v>350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  <x:c r="P1" s="51"/>
      <x:c r="Q1" s="51"/>
    </x:row>
    <x:row r="2" spans="1:17" ht="12" customHeight="1">
      <x:c r="A2" s="51"/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  <x:c r="N2" s="51"/>
      <x:c r="O2" s="51"/>
      <x:c r="P2" s="51"/>
      <x:c r="Q2" s="51"/>
    </x:row>
    <x:row r="3" spans="1:17">
      <x:c r="A3" s="69" t="s">
        <x:v>351</x:v>
      </x:c>
      <x:c r="B3" s="69"/>
      <x:c r="C3" s="69"/>
      <x:c r="D3" s="69"/>
      <x:c r="E3" s="69"/>
      <x:c r="F3" s="69"/>
      <x:c r="G3" s="69"/>
      <x:c r="H3" s="69"/>
      <x:c r="I3" s="69"/>
      <x:c r="J3" s="69"/>
      <x:c r="K3" s="69"/>
      <x:c r="L3" s="69"/>
      <x:c r="M3" s="69"/>
      <x:c r="N3" s="69"/>
      <x:c r="O3" s="69"/>
      <x:c r="P3" s="69"/>
      <x:c r="Q3" s="69"/>
    </x:row>
    <x:row r="5" spans="1:17">
      <x:c r="A5" s="55" t="s">
        <x:v>129</x:v>
      </x:c>
      <x:c r="B5" s="55" t="s">
        <x:v>352</x:v>
      </x:c>
      <x:c r="C5" s="55" t="s">
        <x:v>135</x:v>
      </x:c>
      <x:c r="D5" s="55" t="s">
        <x:v>136</x:v>
      </x:c>
      <x:c r="E5" s="55" t="s">
        <x:v>353</x:v>
      </x:c>
      <x:c r="F5" s="55" t="s">
        <x:v>354</x:v>
      </x:c>
      <x:c r="G5" s="55" t="s">
        <x:v>355</x:v>
      </x:c>
      <x:c r="H5" s="55" t="s">
        <x:v>356</x:v>
      </x:c>
      <x:c r="I5" s="55" t="s">
        <x:v>357</x:v>
      </x:c>
      <x:c r="J5" s="55" t="s">
        <x:v>358</x:v>
      </x:c>
      <x:c r="K5" s="55" t="s">
        <x:v>359</x:v>
      </x:c>
      <x:c r="L5" s="55" t="s">
        <x:v>176</x:v>
      </x:c>
      <x:c r="M5" s="55" t="s">
        <x:v>179</x:v>
      </x:c>
      <x:c r="N5" s="55" t="s">
        <x:v>360</x:v>
      </x:c>
      <x:c r="O5" s="55" t="s">
        <x:v>361</x:v>
      </x:c>
      <x:c r="P5" s="55" t="s">
        <x:v>362</x:v>
      </x:c>
      <x:c r="Q5" s="55" t="s">
        <x:v>30</x:v>
      </x:c>
    </x:row>
    <x:row r="6" spans="1:17">
      <x:c r="A6" s="70">
        <x:v>1</x:v>
      </x:c>
      <x:c r="B6" s="71" t="s">
        <x:v>144</x:v>
      </x:c>
      <x:c r="C6" s="72">
        <x:f>'INPUT_CONFIG'!$C$35+(1-1)*'INPUT_CONFIG'!$C$40</x:f>
      </x:c>
      <x:c r="D6" s="72">
        <x:f>'INPUT_CONFIG'!$C$36+IF(MOD(1,2)=0,'INPUT_CONFIG'!$C$41,0)</x:f>
      </x:c>
      <x:c r="E6" s="72">
        <x:f>C6-'INPUT_CONFIG'!$C$12</x:f>
      </x:c>
      <x:c r="F6" s="72">
        <x:f>D6-'INPUT_CONFIG'!$C$13</x:f>
      </x:c>
      <x:c r="G6" s="72">
        <x:f>C6-'INPUT_CONFIG'!$C$42</x:f>
      </x:c>
      <x:c r="H6" s="72">
        <x:f>C6+'INPUT_CONFIG'!$C$42</x:f>
      </x:c>
      <x:c r="I6" s="72" t="s">
        <x:v>363</x:v>
      </x:c>
      <x:c r="J6" s="72">
        <x:f>'INPUT_CONFIG'!$C$12+'INPUT_CONFIG'!$C$38+(1-1)*'INPUT_CONFIG'!$C$40</x:f>
      </x:c>
      <x:c r="K6" s="72">
        <x:f>'INPUT_CONFIG'!$C$13+'INPUT_CONFIG'!$C$39+IF(MOD(1,2)=0,'INPUT_CONFIG'!$C$41,0)</x:f>
      </x:c>
      <x:c r="L6" s="72">
        <x:f>C6-J6</x:f>
      </x:c>
      <x:c r="M6" s="72">
        <x:f>D6-K6</x:f>
      </x:c>
      <x:c r="N6" s="72">
        <x:f>'INPUT_CONFIG'!$C$37</x:f>
      </x:c>
      <x:c r="O6" s="73">
        <x:f>AND(ABS(L6)&lt;=N6,ABS(M6)&lt;=N6)</x:f>
      </x:c>
      <x:c r="P6" s="58">
        <x:f>IF('INPUT_CONFIG'!$C$11&gt;=0,"ProcessStageY DESC","ProcessStageY ASC")</x:f>
      </x:c>
      <x:c r="Q6" s="60" t="s">
        <x:v>364</x:v>
      </x:c>
    </x:row>
    <x:row r="7" spans="1:17">
      <x:c r="A7" s="74">
        <x:v>2</x:v>
      </x:c>
      <x:c r="B7" s="75" t="s">
        <x:v>146</x:v>
      </x:c>
      <x:c r="C7" s="76">
        <x:f>'INPUT_CONFIG'!$C$35+(2-1)*'INPUT_CONFIG'!$C$40</x:f>
      </x:c>
      <x:c r="D7" s="76">
        <x:f>'INPUT_CONFIG'!$C$36+IF(MOD(2,2)=0,'INPUT_CONFIG'!$C$41,0)</x:f>
      </x:c>
      <x:c r="E7" s="76">
        <x:f>C7-'INPUT_CONFIG'!$C$12</x:f>
      </x:c>
      <x:c r="F7" s="76">
        <x:f>D7-'INPUT_CONFIG'!$C$13</x:f>
      </x:c>
      <x:c r="G7" s="76">
        <x:f>C7-'INPUT_CONFIG'!$C$42</x:f>
      </x:c>
      <x:c r="H7" s="76">
        <x:f>C7+'INPUT_CONFIG'!$C$42</x:f>
      </x:c>
      <x:c r="I7" s="76" t="s">
        <x:v>363</x:v>
      </x:c>
      <x:c r="J7" s="76">
        <x:f>'INPUT_CONFIG'!$C$12+'INPUT_CONFIG'!$C$38+(2-1)*'INPUT_CONFIG'!$C$40</x:f>
      </x:c>
      <x:c r="K7" s="76">
        <x:f>'INPUT_CONFIG'!$C$13+'INPUT_CONFIG'!$C$39+IF(MOD(2,2)=0,'INPUT_CONFIG'!$C$41,0)</x:f>
      </x:c>
      <x:c r="L7" s="76">
        <x:f>C7-J7</x:f>
      </x:c>
      <x:c r="M7" s="76">
        <x:f>D7-K7</x:f>
      </x:c>
      <x:c r="N7" s="76">
        <x:f>'INPUT_CONFIG'!$C$37</x:f>
      </x:c>
      <x:c r="O7" s="77">
        <x:f>AND(ABS(L7)&lt;=N7,ABS(M7)&lt;=N7)</x:f>
      </x:c>
      <x:c r="P7" s="62">
        <x:f>IF('INPUT_CONFIG'!$C$11&gt;=0,"ProcessStageY DESC","ProcessStageY ASC")</x:f>
      </x:c>
      <x:c r="Q7" s="64" t="s">
        <x:v>365</x:v>
      </x:c>
    </x:row>
    <x:row r="8" spans="1:17">
      <x:c r="A8" s="74">
        <x:v>3</x:v>
      </x:c>
      <x:c r="B8" s="75" t="s">
        <x:v>144</x:v>
      </x:c>
      <x:c r="C8" s="76">
        <x:f>'INPUT_CONFIG'!$C$35+(3-1)*'INPUT_CONFIG'!$C$40</x:f>
      </x:c>
      <x:c r="D8" s="76">
        <x:f>'INPUT_CONFIG'!$C$36+IF(MOD(3,2)=0,'INPUT_CONFIG'!$C$41,0)</x:f>
      </x:c>
      <x:c r="E8" s="76">
        <x:f>C8-'INPUT_CONFIG'!$C$12</x:f>
      </x:c>
      <x:c r="F8" s="76">
        <x:f>D8-'INPUT_CONFIG'!$C$13</x:f>
      </x:c>
      <x:c r="G8" s="76">
        <x:f>C8-'INPUT_CONFIG'!$C$42</x:f>
      </x:c>
      <x:c r="H8" s="76">
        <x:f>C8+'INPUT_CONFIG'!$C$42</x:f>
      </x:c>
      <x:c r="I8" s="76" t="s">
        <x:v>363</x:v>
      </x:c>
      <x:c r="J8" s="76">
        <x:f>'INPUT_CONFIG'!$C$12+'INPUT_CONFIG'!$C$38+(3-1)*'INPUT_CONFIG'!$C$40</x:f>
      </x:c>
      <x:c r="K8" s="76">
        <x:f>'INPUT_CONFIG'!$C$13+'INPUT_CONFIG'!$C$39+IF(MOD(3,2)=0,'INPUT_CONFIG'!$C$41,0)</x:f>
      </x:c>
      <x:c r="L8" s="76">
        <x:f>C8-J8</x:f>
      </x:c>
      <x:c r="M8" s="76">
        <x:f>D8-K8</x:f>
      </x:c>
      <x:c r="N8" s="76">
        <x:f>'INPUT_CONFIG'!$C$37</x:f>
      </x:c>
      <x:c r="O8" s="77">
        <x:f>AND(ABS(L8)&lt;=N8,ABS(M8)&lt;=N8)</x:f>
      </x:c>
      <x:c r="P8" s="62">
        <x:f>IF('INPUT_CONFIG'!$C$11&gt;=0,"ProcessStageY DESC","ProcessStageY ASC")</x:f>
      </x:c>
      <x:c r="Q8" s="64" t="s">
        <x:v>365</x:v>
      </x:c>
    </x:row>
    <x:row r="9" spans="1:17">
      <x:c r="A9" s="74">
        <x:v>4</x:v>
      </x:c>
      <x:c r="B9" s="75" t="s">
        <x:v>146</x:v>
      </x:c>
      <x:c r="C9" s="76">
        <x:f>'INPUT_CONFIG'!$C$35+(4-1)*'INPUT_CONFIG'!$C$40</x:f>
      </x:c>
      <x:c r="D9" s="76">
        <x:f>'INPUT_CONFIG'!$C$36+IF(MOD(4,2)=0,'INPUT_CONFIG'!$C$41,0)</x:f>
      </x:c>
      <x:c r="E9" s="76">
        <x:f>C9-'INPUT_CONFIG'!$C$12</x:f>
      </x:c>
      <x:c r="F9" s="76">
        <x:f>D9-'INPUT_CONFIG'!$C$13</x:f>
      </x:c>
      <x:c r="G9" s="76">
        <x:f>C9-'INPUT_CONFIG'!$C$42</x:f>
      </x:c>
      <x:c r="H9" s="76">
        <x:f>C9+'INPUT_CONFIG'!$C$42</x:f>
      </x:c>
      <x:c r="I9" s="76" t="s">
        <x:v>363</x:v>
      </x:c>
      <x:c r="J9" s="76">
        <x:f>'INPUT_CONFIG'!$C$12+'INPUT_CONFIG'!$C$38+(4-1)*'INPUT_CONFIG'!$C$40</x:f>
      </x:c>
      <x:c r="K9" s="76">
        <x:f>'INPUT_CONFIG'!$C$13+'INPUT_CONFIG'!$C$39+IF(MOD(4,2)=0,'INPUT_CONFIG'!$C$41,0)</x:f>
      </x:c>
      <x:c r="L9" s="76">
        <x:f>C9-J9</x:f>
      </x:c>
      <x:c r="M9" s="76">
        <x:f>D9-K9</x:f>
      </x:c>
      <x:c r="N9" s="76">
        <x:f>'INPUT_CONFIG'!$C$37</x:f>
      </x:c>
      <x:c r="O9" s="77">
        <x:f>AND(ABS(L9)&lt;=N9,ABS(M9)&lt;=N9)</x:f>
      </x:c>
      <x:c r="P9" s="62">
        <x:f>IF('INPUT_CONFIG'!$C$11&gt;=0,"ProcessStageY DESC","ProcessStageY ASC")</x:f>
      </x:c>
      <x:c r="Q9" s="64" t="s">
        <x:v>365</x:v>
      </x:c>
    </x:row>
    <x:row r="10" spans="1:17">
      <x:c r="A10" s="74">
        <x:v>5</x:v>
      </x:c>
      <x:c r="B10" s="75" t="s">
        <x:v>144</x:v>
      </x:c>
      <x:c r="C10" s="76">
        <x:f>'INPUT_CONFIG'!$C$35+(5-1)*'INPUT_CONFIG'!$C$40</x:f>
      </x:c>
      <x:c r="D10" s="76">
        <x:f>'INPUT_CONFIG'!$C$36+IF(MOD(5,2)=0,'INPUT_CONFIG'!$C$41,0)</x:f>
      </x:c>
      <x:c r="E10" s="76">
        <x:f>C10-'INPUT_CONFIG'!$C$12</x:f>
      </x:c>
      <x:c r="F10" s="76">
        <x:f>D10-'INPUT_CONFIG'!$C$13</x:f>
      </x:c>
      <x:c r="G10" s="76">
        <x:f>C10-'INPUT_CONFIG'!$C$42</x:f>
      </x:c>
      <x:c r="H10" s="76">
        <x:f>C10+'INPUT_CONFIG'!$C$42</x:f>
      </x:c>
      <x:c r="I10" s="76" t="s">
        <x:v>363</x:v>
      </x:c>
      <x:c r="J10" s="76">
        <x:f>'INPUT_CONFIG'!$C$12+'INPUT_CONFIG'!$C$38+(5-1)*'INPUT_CONFIG'!$C$40</x:f>
      </x:c>
      <x:c r="K10" s="76">
        <x:f>'INPUT_CONFIG'!$C$13+'INPUT_CONFIG'!$C$39+IF(MOD(5,2)=0,'INPUT_CONFIG'!$C$41,0)</x:f>
      </x:c>
      <x:c r="L10" s="76">
        <x:f>C10-J10</x:f>
      </x:c>
      <x:c r="M10" s="76">
        <x:f>D10-K10</x:f>
      </x:c>
      <x:c r="N10" s="76">
        <x:f>'INPUT_CONFIG'!$C$37</x:f>
      </x:c>
      <x:c r="O10" s="77">
        <x:f>AND(ABS(L10)&lt;=N10,ABS(M10)&lt;=N10)</x:f>
      </x:c>
      <x:c r="P10" s="62">
        <x:f>IF('INPUT_CONFIG'!$C$11&gt;=0,"ProcessStageY DESC","ProcessStageY ASC")</x:f>
      </x:c>
      <x:c r="Q10" s="64" t="s">
        <x:v>365</x:v>
      </x:c>
    </x:row>
    <x:row r="11" spans="1:17">
      <x:c r="A11" s="74">
        <x:v>6</x:v>
      </x:c>
      <x:c r="B11" s="75" t="s">
        <x:v>146</x:v>
      </x:c>
      <x:c r="C11" s="76">
        <x:f>'INPUT_CONFIG'!$C$35+(6-1)*'INPUT_CONFIG'!$C$40</x:f>
      </x:c>
      <x:c r="D11" s="76">
        <x:f>'INPUT_CONFIG'!$C$36+IF(MOD(6,2)=0,'INPUT_CONFIG'!$C$41,0)</x:f>
      </x:c>
      <x:c r="E11" s="76">
        <x:f>C11-'INPUT_CONFIG'!$C$12</x:f>
      </x:c>
      <x:c r="F11" s="76">
        <x:f>D11-'INPUT_CONFIG'!$C$13</x:f>
      </x:c>
      <x:c r="G11" s="76">
        <x:f>C11-'INPUT_CONFIG'!$C$42</x:f>
      </x:c>
      <x:c r="H11" s="76">
        <x:f>C11+'INPUT_CONFIG'!$C$42</x:f>
      </x:c>
      <x:c r="I11" s="76" t="s">
        <x:v>363</x:v>
      </x:c>
      <x:c r="J11" s="76">
        <x:f>'INPUT_CONFIG'!$C$12+'INPUT_CONFIG'!$C$38+(6-1)*'INPUT_CONFIG'!$C$40</x:f>
      </x:c>
      <x:c r="K11" s="76">
        <x:f>'INPUT_CONFIG'!$C$13+'INPUT_CONFIG'!$C$39+IF(MOD(6,2)=0,'INPUT_CONFIG'!$C$41,0)</x:f>
      </x:c>
      <x:c r="L11" s="76">
        <x:f>C11-J11</x:f>
      </x:c>
      <x:c r="M11" s="76">
        <x:f>D11-K11</x:f>
      </x:c>
      <x:c r="N11" s="76">
        <x:f>'INPUT_CONFIG'!$C$37</x:f>
      </x:c>
      <x:c r="O11" s="77">
        <x:f>AND(ABS(L11)&lt;=N11,ABS(M11)&lt;=N11)</x:f>
      </x:c>
      <x:c r="P11" s="62">
        <x:f>IF('INPUT_CONFIG'!$C$11&gt;=0,"ProcessStageY DESC","ProcessStageY ASC")</x:f>
      </x:c>
      <x:c r="Q11" s="64" t="s">
        <x:v>365</x:v>
      </x:c>
    </x:row>
    <x:row r="12" spans="1:17">
      <x:c r="A12" s="74">
        <x:v>7</x:v>
      </x:c>
      <x:c r="B12" s="75" t="s">
        <x:v>144</x:v>
      </x:c>
      <x:c r="C12" s="76">
        <x:f>'INPUT_CONFIG'!$C$35+(7-1)*'INPUT_CONFIG'!$C$40</x:f>
      </x:c>
      <x:c r="D12" s="76">
        <x:f>'INPUT_CONFIG'!$C$36+IF(MOD(7,2)=0,'INPUT_CONFIG'!$C$41,0)</x:f>
      </x:c>
      <x:c r="E12" s="76">
        <x:f>C12-'INPUT_CONFIG'!$C$12</x:f>
      </x:c>
      <x:c r="F12" s="76">
        <x:f>D12-'INPUT_CONFIG'!$C$13</x:f>
      </x:c>
      <x:c r="G12" s="76">
        <x:f>C12-'INPUT_CONFIG'!$C$42</x:f>
      </x:c>
      <x:c r="H12" s="76">
        <x:f>C12+'INPUT_CONFIG'!$C$42</x:f>
      </x:c>
      <x:c r="I12" s="76" t="s">
        <x:v>363</x:v>
      </x:c>
      <x:c r="J12" s="76">
        <x:f>'INPUT_CONFIG'!$C$12+'INPUT_CONFIG'!$C$38+(7-1)*'INPUT_CONFIG'!$C$40</x:f>
      </x:c>
      <x:c r="K12" s="76">
        <x:f>'INPUT_CONFIG'!$C$13+'INPUT_CONFIG'!$C$39+IF(MOD(7,2)=0,'INPUT_CONFIG'!$C$41,0)</x:f>
      </x:c>
      <x:c r="L12" s="76">
        <x:f>C12-J12</x:f>
      </x:c>
      <x:c r="M12" s="76">
        <x:f>D12-K12</x:f>
      </x:c>
      <x:c r="N12" s="76">
        <x:f>'INPUT_CONFIG'!$C$37</x:f>
      </x:c>
      <x:c r="O12" s="77">
        <x:f>AND(ABS(L12)&lt;=N12,ABS(M12)&lt;=N12)</x:f>
      </x:c>
      <x:c r="P12" s="62">
        <x:f>IF('INPUT_CONFIG'!$C$11&gt;=0,"ProcessStageY DESC","ProcessStageY ASC")</x:f>
      </x:c>
      <x:c r="Q12" s="64" t="s">
        <x:v>365</x:v>
      </x:c>
    </x:row>
    <x:row r="13" spans="1:17">
      <x:c r="A13" s="78">
        <x:v>8</x:v>
      </x:c>
      <x:c r="B13" s="79" t="s">
        <x:v>146</x:v>
      </x:c>
      <x:c r="C13" s="80">
        <x:f>'INPUT_CONFIG'!$C$35+(8-1)*'INPUT_CONFIG'!$C$40</x:f>
      </x:c>
      <x:c r="D13" s="80">
        <x:f>'INPUT_CONFIG'!$C$36+IF(MOD(8,2)=0,'INPUT_CONFIG'!$C$41,0)</x:f>
      </x:c>
      <x:c r="E13" s="80">
        <x:f>C13-'INPUT_CONFIG'!$C$12</x:f>
      </x:c>
      <x:c r="F13" s="80">
        <x:f>D13-'INPUT_CONFIG'!$C$13</x:f>
      </x:c>
      <x:c r="G13" s="80">
        <x:f>C13-'INPUT_CONFIG'!$C$42</x:f>
      </x:c>
      <x:c r="H13" s="80">
        <x:f>C13+'INPUT_CONFIG'!$C$42</x:f>
      </x:c>
      <x:c r="I13" s="80" t="s">
        <x:v>363</x:v>
      </x:c>
      <x:c r="J13" s="80">
        <x:f>'INPUT_CONFIG'!$C$12+'INPUT_CONFIG'!$C$38+(8-1)*'INPUT_CONFIG'!$C$40</x:f>
      </x:c>
      <x:c r="K13" s="80">
        <x:f>'INPUT_CONFIG'!$C$13+'INPUT_CONFIG'!$C$39+IF(MOD(8,2)=0,'INPUT_CONFIG'!$C$41,0)</x:f>
      </x:c>
      <x:c r="L13" s="80">
        <x:f>C13-J13</x:f>
      </x:c>
      <x:c r="M13" s="80">
        <x:f>D13-K13</x:f>
      </x:c>
      <x:c r="N13" s="80">
        <x:f>'INPUT_CONFIG'!$C$37</x:f>
      </x:c>
      <x:c r="O13" s="81">
        <x:f>AND(ABS(L13)&lt;=N13,ABS(M13)&lt;=N13)</x:f>
      </x:c>
      <x:c r="P13" s="66">
        <x:f>IF('INPUT_CONFIG'!$C$11&gt;=0,"ProcessStageY DESC","ProcessStageY ASC")</x:f>
      </x:c>
      <x:c r="Q13" s="68" t="s">
        <x:v>365</x:v>
      </x:c>
    </x:row>
  </x:sheetData>
  <x:autoFilter ref="A5:Q13"/>
  <x:mergeCells count="2">
    <x:mergeCell ref="A1:Q2"/>
    <x:mergeCell ref="A3:Q3"/>
  </x:mergeCells>
  <x:printOptions horizontalCentered="0" verticalCentered="0" headings="0" gridLines="0"/>
  <x:pageMargins left="0.25" right="0.25" top="0.4" bottom="0.4" header="0.5" footer="0.75"/>
  <x:pageSetup paperSize="1" fitToHeight="0" pageOrder="downThenOver" orientation="landscape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F59E0B"/>
    <x:outlinePr summaryBelow="1" summaryRight="1"/>
    <x:pageSetUpPr fitToPage="1"/>
  </x:sheetPr>
  <x:dimension ref="A1:I27"/>
  <x:sheetViews>
    <x:sheetView showGridLines="0" workbookViewId="0">
      <x:pane xSplit="0" ySplit="11" topLeftCell="A12" activePane="bottomLeft" state="frozenSplit"/>
    </x:sheetView>
  </x:sheetViews>
  <x:sheetFormatPr defaultRowHeight="15"/>
  <x:cols>
    <x:col min="10" max="16384" width="9.140625" style="49" customWidth="1"/>
    <x:col min="1" max="9" width="16.710625" style="49" customWidth="1"/>
  </x:cols>
  <x:sheetData>
    <x:row r="1" spans="1:9" ht="28" customHeight="1">
      <x:c r="A1" s="51" t="s">
        <x:v>366</x:v>
      </x:c>
      <x:c r="B1" s="51"/>
      <x:c r="C1" s="51"/>
      <x:c r="D1" s="51"/>
      <x:c r="E1" s="51"/>
      <x:c r="F1" s="51"/>
      <x:c r="G1" s="51"/>
      <x:c r="H1" s="51"/>
      <x:c r="I1" s="51"/>
    </x:row>
    <x:row r="2" spans="1:9" ht="12" customHeight="1">
      <x:c r="A2" s="51"/>
      <x:c r="B2" s="51"/>
      <x:c r="C2" s="51"/>
      <x:c r="D2" s="51"/>
      <x:c r="E2" s="51"/>
      <x:c r="F2" s="51"/>
      <x:c r="G2" s="51"/>
      <x:c r="H2" s="51"/>
      <x:c r="I2" s="51"/>
    </x:row>
    <x:row r="3" spans="1:9">
      <x:c r="A3" s="69" t="s">
        <x:v>367</x:v>
      </x:c>
      <x:c r="B3" s="69"/>
      <x:c r="C3" s="69"/>
      <x:c r="D3" s="69"/>
      <x:c r="E3" s="69"/>
      <x:c r="F3" s="69"/>
      <x:c r="G3" s="69"/>
      <x:c r="H3" s="69"/>
      <x:c r="I3" s="69"/>
    </x:row>
    <x:row r="5" spans="1:9" ht="48" customHeight="1">
      <x:c r="B5" s="82" t="s">
        <x:v>368</x:v>
      </x:c>
      <x:c r="C5" s="82" t="s">
        <x:v>369</x:v>
      </x:c>
      <x:c r="D5" s="82" t="s">
        <x:v>370</x:v>
      </x:c>
      <x:c r="E5" s="82" t="s">
        <x:v>371</x:v>
      </x:c>
    </x:row>
    <x:row r="6" spans="1:9" ht="48" customHeight="1">
      <x:c r="B6" s="83" t="s">
        <x:v>372</x:v>
      </x:c>
      <x:c r="C6" s="82" t="s">
        <x:v>373</x:v>
      </x:c>
      <x:c r="D6" s="82" t="s">
        <x:v>374</x:v>
      </x:c>
      <x:c r="E6" s="82" t="s">
        <x:v>375</x:v>
      </x:c>
    </x:row>
    <x:row r="7" spans="1:9" ht="48" customHeight="1">
      <x:c r="B7" s="82" t="s">
        <x:v>376</x:v>
      </x:c>
      <x:c r="C7" s="82" t="s">
        <x:v>377</x:v>
      </x:c>
      <x:c r="D7" s="82" t="s">
        <x:v>378</x:v>
      </x:c>
      <x:c r="E7" s="82" t="s">
        <x:v>379</x:v>
      </x:c>
    </x:row>
    <x:row r="8" spans="1:9" ht="48" customHeight="1">
      <x:c r="B8" s="82" t="s">
        <x:v>380</x:v>
      </x:c>
      <x:c r="C8" s="82" t="s">
        <x:v>381</x:v>
      </x:c>
      <x:c r="D8" s="82" t="s">
        <x:v>382</x:v>
      </x:c>
      <x:c r="E8" s="82" t="s">
        <x:v>383</x:v>
      </x:c>
    </x:row>
    <x:row r="11" spans="1:9">
      <x:c r="A11" s="55" t="s">
        <x:v>384</x:v>
      </x:c>
      <x:c r="B11" s="55" t="s">
        <x:v>385</x:v>
      </x:c>
      <x:c r="C11" s="55" t="s">
        <x:v>386</x:v>
      </x:c>
      <x:c r="D11" s="55" t="s">
        <x:v>387</x:v>
      </x:c>
      <x:c r="E11" s="55" t="s">
        <x:v>388</x:v>
      </x:c>
      <x:c r="F11" s="55" t="s">
        <x:v>389</x:v>
      </x:c>
      <x:c r="G11" s="55" t="s">
        <x:v>390</x:v>
      </x:c>
      <x:c r="H11" s="55" t="s">
        <x:v>391</x:v>
      </x:c>
      <x:c r="I11" s="55" t="s">
        <x:v>392</x:v>
      </x:c>
    </x:row>
    <x:row r="12" spans="1:9">
      <x:c r="A12" s="57">
        <x:v>1</x:v>
      </x:c>
      <x:c r="B12" s="58">
        <x:v>1</x:v>
      </x:c>
      <x:c r="C12" s="58">
        <x:v>1</x:v>
      </x:c>
      <x:c r="D12" s="72">
        <x:f>(C12-2.5)*'INPUT_CONFIG'!$C$46</x:f>
      </x:c>
      <x:c r="E12" s="72">
        <x:f>(B12-2.5)*'INPUT_CONFIG'!$C$47</x:f>
      </x:c>
      <x:c r="F12" s="72">
        <x:f>-D12</x:f>
      </x:c>
      <x:c r="G12" s="72">
        <x:f>E12</x:f>
      </x:c>
      <x:c r="H12" s="72">
        <x:f>D12</x:f>
      </x:c>
      <x:c r="I12" s="84">
        <x:f>-E12</x:f>
      </x:c>
    </x:row>
    <x:row r="13" spans="1:9">
      <x:c r="A13" s="61">
        <x:v>2</x:v>
      </x:c>
      <x:c r="B13" s="62">
        <x:v>1</x:v>
      </x:c>
      <x:c r="C13" s="62">
        <x:v>2</x:v>
      </x:c>
      <x:c r="D13" s="76">
        <x:f>(C13-2.5)*'INPUT_CONFIG'!$C$46</x:f>
      </x:c>
      <x:c r="E13" s="76">
        <x:f>(B13-2.5)*'INPUT_CONFIG'!$C$47</x:f>
      </x:c>
      <x:c r="F13" s="76">
        <x:f>-D13</x:f>
      </x:c>
      <x:c r="G13" s="76">
        <x:f>E13</x:f>
      </x:c>
      <x:c r="H13" s="76">
        <x:f>D13</x:f>
      </x:c>
      <x:c r="I13" s="85">
        <x:f>-E13</x:f>
      </x:c>
    </x:row>
    <x:row r="14" spans="1:9">
      <x:c r="A14" s="61">
        <x:v>3</x:v>
      </x:c>
      <x:c r="B14" s="62">
        <x:v>1</x:v>
      </x:c>
      <x:c r="C14" s="62">
        <x:v>3</x:v>
      </x:c>
      <x:c r="D14" s="76">
        <x:f>(C14-2.5)*'INPUT_CONFIG'!$C$46</x:f>
      </x:c>
      <x:c r="E14" s="76">
        <x:f>(B14-2.5)*'INPUT_CONFIG'!$C$47</x:f>
      </x:c>
      <x:c r="F14" s="76">
        <x:f>-D14</x:f>
      </x:c>
      <x:c r="G14" s="76">
        <x:f>E14</x:f>
      </x:c>
      <x:c r="H14" s="76">
        <x:f>D14</x:f>
      </x:c>
      <x:c r="I14" s="85">
        <x:f>-E14</x:f>
      </x:c>
    </x:row>
    <x:row r="15" spans="1:9">
      <x:c r="A15" s="61">
        <x:v>4</x:v>
      </x:c>
      <x:c r="B15" s="62">
        <x:v>1</x:v>
      </x:c>
      <x:c r="C15" s="62">
        <x:v>4</x:v>
      </x:c>
      <x:c r="D15" s="76">
        <x:f>(C15-2.5)*'INPUT_CONFIG'!$C$46</x:f>
      </x:c>
      <x:c r="E15" s="76">
        <x:f>(B15-2.5)*'INPUT_CONFIG'!$C$47</x:f>
      </x:c>
      <x:c r="F15" s="76">
        <x:f>-D15</x:f>
      </x:c>
      <x:c r="G15" s="76">
        <x:f>E15</x:f>
      </x:c>
      <x:c r="H15" s="76">
        <x:f>D15</x:f>
      </x:c>
      <x:c r="I15" s="85">
        <x:f>-E15</x:f>
      </x:c>
    </x:row>
    <x:row r="16" spans="1:9">
      <x:c r="A16" s="86">
        <x:v>5</x:v>
      </x:c>
      <x:c r="B16" s="87">
        <x:v>2</x:v>
      </x:c>
      <x:c r="C16" s="87">
        <x:v>1</x:v>
      </x:c>
      <x:c r="D16" s="88">
        <x:f>(C16-2.5)*'INPUT_CONFIG'!$C$46</x:f>
      </x:c>
      <x:c r="E16" s="88">
        <x:f>(B16-2.5)*'INPUT_CONFIG'!$C$47</x:f>
      </x:c>
      <x:c r="F16" s="88">
        <x:f>-D16</x:f>
      </x:c>
      <x:c r="G16" s="88">
        <x:f>E16</x:f>
      </x:c>
      <x:c r="H16" s="88">
        <x:f>D16</x:f>
      </x:c>
      <x:c r="I16" s="89">
        <x:f>-E16</x:f>
      </x:c>
    </x:row>
    <x:row r="17" spans="1:9">
      <x:c r="A17" s="61">
        <x:v>6</x:v>
      </x:c>
      <x:c r="B17" s="62">
        <x:v>2</x:v>
      </x:c>
      <x:c r="C17" s="62">
        <x:v>2</x:v>
      </x:c>
      <x:c r="D17" s="76">
        <x:f>(C17-2.5)*'INPUT_CONFIG'!$C$46</x:f>
      </x:c>
      <x:c r="E17" s="76">
        <x:f>(B17-2.5)*'INPUT_CONFIG'!$C$47</x:f>
      </x:c>
      <x:c r="F17" s="76">
        <x:f>-D17</x:f>
      </x:c>
      <x:c r="G17" s="76">
        <x:f>E17</x:f>
      </x:c>
      <x:c r="H17" s="76">
        <x:f>D17</x:f>
      </x:c>
      <x:c r="I17" s="85">
        <x:f>-E17</x:f>
      </x:c>
    </x:row>
    <x:row r="18" spans="1:9">
      <x:c r="A18" s="61">
        <x:v>7</x:v>
      </x:c>
      <x:c r="B18" s="62">
        <x:v>2</x:v>
      </x:c>
      <x:c r="C18" s="62">
        <x:v>3</x:v>
      </x:c>
      <x:c r="D18" s="76">
        <x:f>(C18-2.5)*'INPUT_CONFIG'!$C$46</x:f>
      </x:c>
      <x:c r="E18" s="76">
        <x:f>(B18-2.5)*'INPUT_CONFIG'!$C$47</x:f>
      </x:c>
      <x:c r="F18" s="76">
        <x:f>-D18</x:f>
      </x:c>
      <x:c r="G18" s="76">
        <x:f>E18</x:f>
      </x:c>
      <x:c r="H18" s="76">
        <x:f>D18</x:f>
      </x:c>
      <x:c r="I18" s="85">
        <x:f>-E18</x:f>
      </x:c>
    </x:row>
    <x:row r="19" spans="1:9">
      <x:c r="A19" s="61">
        <x:v>8</x:v>
      </x:c>
      <x:c r="B19" s="62">
        <x:v>2</x:v>
      </x:c>
      <x:c r="C19" s="62">
        <x:v>4</x:v>
      </x:c>
      <x:c r="D19" s="76">
        <x:f>(C19-2.5)*'INPUT_CONFIG'!$C$46</x:f>
      </x:c>
      <x:c r="E19" s="76">
        <x:f>(B19-2.5)*'INPUT_CONFIG'!$C$47</x:f>
      </x:c>
      <x:c r="F19" s="76">
        <x:f>-D19</x:f>
      </x:c>
      <x:c r="G19" s="76">
        <x:f>E19</x:f>
      </x:c>
      <x:c r="H19" s="76">
        <x:f>D19</x:f>
      </x:c>
      <x:c r="I19" s="85">
        <x:f>-E19</x:f>
      </x:c>
    </x:row>
    <x:row r="20" spans="1:9">
      <x:c r="A20" s="61">
        <x:v>9</x:v>
      </x:c>
      <x:c r="B20" s="62">
        <x:v>3</x:v>
      </x:c>
      <x:c r="C20" s="62">
        <x:v>1</x:v>
      </x:c>
      <x:c r="D20" s="76">
        <x:f>(C20-2.5)*'INPUT_CONFIG'!$C$46</x:f>
      </x:c>
      <x:c r="E20" s="76">
        <x:f>(B20-2.5)*'INPUT_CONFIG'!$C$47</x:f>
      </x:c>
      <x:c r="F20" s="76">
        <x:f>-D20</x:f>
      </x:c>
      <x:c r="G20" s="76">
        <x:f>E20</x:f>
      </x:c>
      <x:c r="H20" s="76">
        <x:f>D20</x:f>
      </x:c>
      <x:c r="I20" s="85">
        <x:f>-E20</x:f>
      </x:c>
    </x:row>
    <x:row r="21" spans="1:9">
      <x:c r="A21" s="61">
        <x:v>10</x:v>
      </x:c>
      <x:c r="B21" s="62">
        <x:v>3</x:v>
      </x:c>
      <x:c r="C21" s="62">
        <x:v>2</x:v>
      </x:c>
      <x:c r="D21" s="76">
        <x:f>(C21-2.5)*'INPUT_CONFIG'!$C$46</x:f>
      </x:c>
      <x:c r="E21" s="76">
        <x:f>(B21-2.5)*'INPUT_CONFIG'!$C$47</x:f>
      </x:c>
      <x:c r="F21" s="76">
        <x:f>-D21</x:f>
      </x:c>
      <x:c r="G21" s="76">
        <x:f>E21</x:f>
      </x:c>
      <x:c r="H21" s="76">
        <x:f>D21</x:f>
      </x:c>
      <x:c r="I21" s="85">
        <x:f>-E21</x:f>
      </x:c>
    </x:row>
    <x:row r="22" spans="1:9">
      <x:c r="A22" s="61">
        <x:v>11</x:v>
      </x:c>
      <x:c r="B22" s="62">
        <x:v>3</x:v>
      </x:c>
      <x:c r="C22" s="62">
        <x:v>3</x:v>
      </x:c>
      <x:c r="D22" s="76">
        <x:f>(C22-2.5)*'INPUT_CONFIG'!$C$46</x:f>
      </x:c>
      <x:c r="E22" s="76">
        <x:f>(B22-2.5)*'INPUT_CONFIG'!$C$47</x:f>
      </x:c>
      <x:c r="F22" s="76">
        <x:f>-D22</x:f>
      </x:c>
      <x:c r="G22" s="76">
        <x:f>E22</x:f>
      </x:c>
      <x:c r="H22" s="76">
        <x:f>D22</x:f>
      </x:c>
      <x:c r="I22" s="85">
        <x:f>-E22</x:f>
      </x:c>
    </x:row>
    <x:row r="23" spans="1:9">
      <x:c r="A23" s="61">
        <x:v>12</x:v>
      </x:c>
      <x:c r="B23" s="62">
        <x:v>3</x:v>
      </x:c>
      <x:c r="C23" s="62">
        <x:v>4</x:v>
      </x:c>
      <x:c r="D23" s="76">
        <x:f>(C23-2.5)*'INPUT_CONFIG'!$C$46</x:f>
      </x:c>
      <x:c r="E23" s="76">
        <x:f>(B23-2.5)*'INPUT_CONFIG'!$C$47</x:f>
      </x:c>
      <x:c r="F23" s="76">
        <x:f>-D23</x:f>
      </x:c>
      <x:c r="G23" s="76">
        <x:f>E23</x:f>
      </x:c>
      <x:c r="H23" s="76">
        <x:f>D23</x:f>
      </x:c>
      <x:c r="I23" s="85">
        <x:f>-E23</x:f>
      </x:c>
    </x:row>
    <x:row r="24" spans="1:9">
      <x:c r="A24" s="61">
        <x:v>13</x:v>
      </x:c>
      <x:c r="B24" s="62">
        <x:v>4</x:v>
      </x:c>
      <x:c r="C24" s="62">
        <x:v>1</x:v>
      </x:c>
      <x:c r="D24" s="76">
        <x:f>(C24-2.5)*'INPUT_CONFIG'!$C$46</x:f>
      </x:c>
      <x:c r="E24" s="76">
        <x:f>(B24-2.5)*'INPUT_CONFIG'!$C$47</x:f>
      </x:c>
      <x:c r="F24" s="76">
        <x:f>-D24</x:f>
      </x:c>
      <x:c r="G24" s="76">
        <x:f>E24</x:f>
      </x:c>
      <x:c r="H24" s="76">
        <x:f>D24</x:f>
      </x:c>
      <x:c r="I24" s="85">
        <x:f>-E24</x:f>
      </x:c>
    </x:row>
    <x:row r="25" spans="1:9">
      <x:c r="A25" s="61">
        <x:v>14</x:v>
      </x:c>
      <x:c r="B25" s="62">
        <x:v>4</x:v>
      </x:c>
      <x:c r="C25" s="62">
        <x:v>2</x:v>
      </x:c>
      <x:c r="D25" s="76">
        <x:f>(C25-2.5)*'INPUT_CONFIG'!$C$46</x:f>
      </x:c>
      <x:c r="E25" s="76">
        <x:f>(B25-2.5)*'INPUT_CONFIG'!$C$47</x:f>
      </x:c>
      <x:c r="F25" s="76">
        <x:f>-D25</x:f>
      </x:c>
      <x:c r="G25" s="76">
        <x:f>E25</x:f>
      </x:c>
      <x:c r="H25" s="76">
        <x:f>D25</x:f>
      </x:c>
      <x:c r="I25" s="85">
        <x:f>-E25</x:f>
      </x:c>
    </x:row>
    <x:row r="26" spans="1:9">
      <x:c r="A26" s="61">
        <x:v>15</x:v>
      </x:c>
      <x:c r="B26" s="62">
        <x:v>4</x:v>
      </x:c>
      <x:c r="C26" s="62">
        <x:v>3</x:v>
      </x:c>
      <x:c r="D26" s="76">
        <x:f>(C26-2.5)*'INPUT_CONFIG'!$C$46</x:f>
      </x:c>
      <x:c r="E26" s="76">
        <x:f>(B26-2.5)*'INPUT_CONFIG'!$C$47</x:f>
      </x:c>
      <x:c r="F26" s="76">
        <x:f>-D26</x:f>
      </x:c>
      <x:c r="G26" s="76">
        <x:f>E26</x:f>
      </x:c>
      <x:c r="H26" s="76">
        <x:f>D26</x:f>
      </x:c>
      <x:c r="I26" s="85">
        <x:f>-E26</x:f>
      </x:c>
    </x:row>
    <x:row r="27" spans="1:9">
      <x:c r="A27" s="65">
        <x:v>16</x:v>
      </x:c>
      <x:c r="B27" s="66">
        <x:v>4</x:v>
      </x:c>
      <x:c r="C27" s="66">
        <x:v>4</x:v>
      </x:c>
      <x:c r="D27" s="80">
        <x:f>(C27-2.5)*'INPUT_CONFIG'!$C$46</x:f>
      </x:c>
      <x:c r="E27" s="80">
        <x:f>(B27-2.5)*'INPUT_CONFIG'!$C$47</x:f>
      </x:c>
      <x:c r="F27" s="80">
        <x:f>-D27</x:f>
      </x:c>
      <x:c r="G27" s="80">
        <x:f>E27</x:f>
      </x:c>
      <x:c r="H27" s="80">
        <x:f>D27</x:f>
      </x:c>
      <x:c r="I27" s="90">
        <x:f>-E27</x:f>
      </x:c>
    </x:row>
  </x:sheetData>
  <x:autoFilter ref="A11:I27"/>
  <x:mergeCells count="2">
    <x:mergeCell ref="A1:I2"/>
    <x:mergeCell ref="A3:I3"/>
  </x:mergeCells>
  <x:printOptions horizontalCentered="0" verticalCentered="0" headings="0" gridLines="0"/>
  <x:pageMargins left="0.25" right="0.25" top="0.4" bottom="0.4" header="0.5" footer="0.75"/>
  <x:pageSetup paperSize="1" fitToHeight="0" pageOrder="downThenOver" orientation="landscape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10B981"/>
    <x:outlinePr summaryBelow="1" summaryRight="1"/>
    <x:pageSetUpPr fitToPage="1"/>
  </x:sheetPr>
  <x:dimension ref="A1:H33"/>
  <x:sheetViews>
    <x:sheetView showGridLines="0" workbookViewId="0">
      <x:pane xSplit="0" ySplit="6" topLeftCell="A7" activePane="bottomLeft" state="frozenSplit"/>
    </x:sheetView>
  </x:sheetViews>
  <x:sheetFormatPr defaultRowHeight="15"/>
  <x:cols>
    <x:col min="9" max="16384" width="9.140625" style="49" customWidth="1"/>
    <x:col min="1" max="1" width="28.710625" style="49" customWidth="1"/>
    <x:col min="2" max="4" width="17.710625" style="49" customWidth="1"/>
    <x:col min="5" max="5" width="58.710625" style="49" customWidth="1"/>
    <x:col min="6" max="6" width="30.710625" style="49" customWidth="1"/>
    <x:col min="7" max="8" width="9.140625" style="49" customWidth="1"/>
  </x:cols>
  <x:sheetData>
    <x:row r="1" spans="1:8" ht="28" customHeight="1">
      <x:c r="A1" s="51" t="s">
        <x:v>393</x:v>
      </x:c>
      <x:c r="B1" s="51"/>
      <x:c r="C1" s="51"/>
      <x:c r="D1" s="51"/>
      <x:c r="E1" s="51"/>
      <x:c r="F1" s="51"/>
      <x:c r="G1" s="51"/>
      <x:c r="H1" s="51"/>
    </x:row>
    <x:row r="2" spans="1:8" ht="12" customHeight="1">
      <x:c r="A2" s="51"/>
      <x:c r="B2" s="51"/>
      <x:c r="C2" s="51"/>
      <x:c r="D2" s="51"/>
      <x:c r="E2" s="51"/>
      <x:c r="F2" s="51"/>
      <x:c r="G2" s="51"/>
      <x:c r="H2" s="51"/>
    </x:row>
    <x:row r="3" spans="1:8">
      <x:c r="A3" s="69" t="s">
        <x:v>394</x:v>
      </x:c>
      <x:c r="B3" s="69"/>
      <x:c r="C3" s="69"/>
      <x:c r="D3" s="69"/>
      <x:c r="E3" s="69"/>
      <x:c r="F3" s="69"/>
      <x:c r="G3" s="69"/>
      <x:c r="H3" s="69"/>
    </x:row>
    <x:row r="5" spans="1:8" ht="24" customHeight="1">
      <x:c r="A5" s="91" t="s">
        <x:v>395</x:v>
      </x:c>
      <x:c r="B5" s="91"/>
      <x:c r="C5" s="91"/>
      <x:c r="D5" s="91"/>
      <x:c r="E5" s="91"/>
      <x:c r="F5" s="91"/>
      <x:c r="G5" s="91"/>
      <x:c r="H5" s="91"/>
    </x:row>
    <x:row r="6" spans="1:8">
      <x:c r="A6" s="55" t="s">
        <x:v>2</x:v>
      </x:c>
      <x:c r="B6" s="55" t="s">
        <x:v>396</x:v>
      </x:c>
      <x:c r="C6" s="55" t="s">
        <x:v>397</x:v>
      </x:c>
      <x:c r="D6" s="55" t="s">
        <x:v>4</x:v>
      </x:c>
      <x:c r="E6" s="55" t="s">
        <x:v>225</x:v>
      </x:c>
    </x:row>
    <x:row r="7" spans="1:8">
      <x:c r="A7" s="57" t="s">
        <x:v>37</x:v>
      </x:c>
      <x:c r="B7" s="72">
        <x:f>'INPUT_CONFIG'!$C$14</x:f>
      </x:c>
      <x:c r="C7" s="72">
        <x:f>'INPUT_CONFIG'!$C$15</x:f>
      </x:c>
      <x:c r="D7" s="58" t="s">
        <x:v>38</x:v>
      </x:c>
      <x:c r="E7" s="60"/>
    </x:row>
    <x:row r="8" spans="1:8">
      <x:c r="A8" s="61" t="s">
        <x:v>57</x:v>
      </x:c>
      <x:c r="B8" s="76">
        <x:f>'INPUT_CONFIG'!$C$18</x:f>
      </x:c>
      <x:c r="C8" s="76">
        <x:f>'INPUT_CONFIG'!$C$19</x:f>
      </x:c>
      <x:c r="D8" s="62" t="s">
        <x:v>38</x:v>
      </x:c>
      <x:c r="E8" s="64"/>
    </x:row>
    <x:row r="9" spans="1:8">
      <x:c r="A9" s="61" t="s">
        <x:v>398</x:v>
      </x:c>
      <x:c r="B9" s="76">
        <x:f>B8-B7</x:f>
      </x:c>
      <x:c r="C9" s="76">
        <x:f>C8-C7</x:f>
      </x:c>
      <x:c r="D9" s="62" t="s">
        <x:v>38</x:v>
      </x:c>
      <x:c r="E9" s="64" t="s">
        <x:v>400</x:v>
      </x:c>
    </x:row>
    <x:row r="10" spans="1:8">
      <x:c r="A10" s="61" t="s">
        <x:v>399</x:v>
      </x:c>
      <x:c r="B10" s="76">
        <x:f>B9*'INPUT_CONFIG'!$C$16</x:f>
      </x:c>
      <x:c r="C10" s="76">
        <x:f>C9*'INPUT_CONFIG'!$C$17</x:f>
      </x:c>
      <x:c r="D10" s="62" t="s">
        <x:v>16</x:v>
      </x:c>
      <x:c r="E10" s="64" t="s">
        <x:v>401</x:v>
      </x:c>
    </x:row>
    <x:row r="11" spans="1:8">
      <x:c r="A11" s="65" t="s">
        <x:v>69</x:v>
      </x:c>
      <x:c r="B11" s="80">
        <x:f>'INPUT_CONFIG'!$C$12+B10</x:f>
      </x:c>
      <x:c r="C11" s="80">
        <x:f>'INPUT_CONFIG'!$C$13+C10</x:f>
      </x:c>
      <x:c r="D11" s="66" t="s">
        <x:v>16</x:v>
      </x:c>
      <x:c r="E11" s="68" t="s">
        <x:v>402</x:v>
      </x:c>
    </x:row>
    <x:row r="12" spans="1:8">
      <x:c r="B12" s="50"/>
      <x:c r="C12" s="50"/>
    </x:row>
    <x:row r="13" spans="1:8" ht="24" customHeight="1">
      <x:c r="A13" s="91" t="s">
        <x:v>403</x:v>
      </x:c>
      <x:c r="B13" s="92"/>
      <x:c r="C13" s="92"/>
      <x:c r="D13" s="91"/>
      <x:c r="E13" s="91"/>
      <x:c r="F13" s="91"/>
      <x:c r="G13" s="91"/>
      <x:c r="H13" s="91"/>
    </x:row>
    <x:row r="14" spans="1:8">
      <x:c r="A14" s="55" t="s">
        <x:v>2</x:v>
      </x:c>
      <x:c r="B14" s="56" t="s">
        <x:v>404</x:v>
      </x:c>
      <x:c r="C14" s="56" t="s">
        <x:v>405</x:v>
      </x:c>
      <x:c r="D14" s="55" t="s">
        <x:v>4</x:v>
      </x:c>
      <x:c r="E14" s="55" t="s">
        <x:v>406</x:v>
      </x:c>
      <x:c r="F14" s="55" t="s">
        <x:v>30</x:v>
      </x:c>
    </x:row>
    <x:row r="15" spans="1:8">
      <x:c r="A15" s="57" t="s">
        <x:v>407</x:v>
      </x:c>
      <x:c r="B15" s="72">
        <x:v>1</x:v>
      </x:c>
      <x:c r="C15" s="72">
        <x:v>0</x:v>
      </x:c>
      <x:c r="D15" s="58" t="s">
        <x:v>408</x:v>
      </x:c>
      <x:c r="E15" s="58" t="s">
        <x:v>409</x:v>
      </x:c>
      <x:c r="F15" s="60"/>
    </x:row>
    <x:row r="16" spans="1:8">
      <x:c r="A16" s="61" t="s">
        <x:v>410</x:v>
      </x:c>
      <x:c r="B16" s="76">
        <x:v>1</x:v>
      </x:c>
      <x:c r="C16" s="76">
        <x:v>1</x:v>
      </x:c>
      <x:c r="D16" s="62" t="s">
        <x:v>411</x:v>
      </x:c>
      <x:c r="E16" s="62"/>
      <x:c r="F16" s="64"/>
    </x:row>
    <x:row r="17" spans="1:8">
      <x:c r="A17" s="61" t="s">
        <x:v>412</x:v>
      </x:c>
      <x:c r="B17" s="76">
        <x:f>MOD(B16-1,'INPUT_CONFIG'!$C$29)</x:f>
      </x:c>
      <x:c r="C17" s="76">
        <x:f>INT((B16-1)/'INPUT_CONFIG'!$C$29)</x:f>
      </x:c>
      <x:c r="D17" s="62" t="s">
        <x:v>413</x:v>
      </x:c>
      <x:c r="E17" s="62" t="s">
        <x:v>414</x:v>
      </x:c>
      <x:c r="F17" s="64"/>
    </x:row>
    <x:row r="18" spans="1:8">
      <x:c r="A18" s="61" t="s">
        <x:v>415</x:v>
      </x:c>
      <x:c r="B18" s="76">
        <x:f>IF('INPUT_CONFIG'!$C$31&gt;0,'INPUT_CONFIG'!$C$31,'INPUT_CONFIG'!$C$27*'INPUT_CONFIG'!$C$23+'INPUT_CONFIG'!$C$23)</x:f>
      </x:c>
      <x:c r="C18" s="76">
        <x:f>IF('INPUT_CONFIG'!$C$32&gt;0,'INPUT_CONFIG'!$C$32,'INPUT_CONFIG'!$C$28*'INPUT_CONFIG'!$C$24+'INPUT_CONFIG'!$C$24)</x:f>
      </x:c>
      <x:c r="D18" s="62" t="s">
        <x:v>16</x:v>
      </x:c>
      <x:c r="E18" s="62"/>
      <x:c r="F18" s="64"/>
    </x:row>
    <x:row r="19" spans="1:8">
      <x:c r="A19" s="61" t="s">
        <x:v>416</x:v>
      </x:c>
      <x:c r="B19" s="76">
        <x:f>B17*B18</x:f>
      </x:c>
      <x:c r="C19" s="76">
        <x:f>C17*C18</x:f>
      </x:c>
      <x:c r="D19" s="62" t="s">
        <x:v>16</x:v>
      </x:c>
      <x:c r="E19" s="62" t="s">
        <x:v>417</x:v>
      </x:c>
      <x:c r="F19" s="64"/>
    </x:row>
    <x:row r="20" spans="1:8">
      <x:c r="A20" s="65" t="s">
        <x:v>418</x:v>
      </x:c>
      <x:c r="B20" s="80">
        <x:f>B19+'INPUT_CONFIG'!$C$21+B15*'INPUT_CONFIG'!$C$23+'INPUT_CONFIG'!$C$25</x:f>
      </x:c>
      <x:c r="C20" s="80">
        <x:f>C19+'INPUT_CONFIG'!$C$22+C15*'INPUT_CONFIG'!$C$24+'INPUT_CONFIG'!$C$26</x:f>
      </x:c>
      <x:c r="D20" s="66" t="s">
        <x:v>16</x:v>
      </x:c>
      <x:c r="E20" s="66" t="s">
        <x:v>419</x:v>
      </x:c>
      <x:c r="F20" s="68" t="s">
        <x:v>420</x:v>
      </x:c>
    </x:row>
    <x:row r="21" spans="1:8">
      <x:c r="B21" s="50"/>
      <x:c r="C21" s="50"/>
    </x:row>
    <x:row r="22" spans="1:8" ht="24" customHeight="1">
      <x:c r="A22" s="91" t="s">
        <x:v>421</x:v>
      </x:c>
      <x:c r="B22" s="92"/>
      <x:c r="C22" s="92"/>
      <x:c r="D22" s="91"/>
      <x:c r="E22" s="91"/>
      <x:c r="F22" s="91"/>
      <x:c r="G22" s="91"/>
      <x:c r="H22" s="91"/>
    </x:row>
    <x:row r="23" spans="1:8">
      <x:c r="A23" s="55" t="s">
        <x:v>2</x:v>
      </x:c>
      <x:c r="B23" s="56" t="s">
        <x:v>106</x:v>
      </x:c>
      <x:c r="C23" s="56" t="s">
        <x:v>107</x:v>
      </x:c>
      <x:c r="D23" s="55" t="s">
        <x:v>4</x:v>
      </x:c>
      <x:c r="E23" s="55" t="s">
        <x:v>422</x:v>
      </x:c>
      <x:c r="F23" s="55" t="s">
        <x:v>423</x:v>
      </x:c>
    </x:row>
    <x:row r="24" spans="1:8">
      <x:c r="A24" s="57" t="s">
        <x:v>424</x:v>
      </x:c>
      <x:c r="B24" s="72">
        <x:f>B11+B20*COS(RADIANS('INPUT_CONFIG'!$C$20))-C20*SIN(RADIANS('INPUT_CONFIG'!$C$20))</x:f>
      </x:c>
      <x:c r="C24" s="72">
        <x:f>C11+B20*SIN(RADIANS('INPUT_CONFIG'!$C$20))+C20*COS(RADIANS('INPUT_CONFIG'!$C$20))</x:f>
      </x:c>
      <x:c r="D24" s="58" t="s">
        <x:v>16</x:v>
      </x:c>
      <x:c r="E24" s="58" t="s">
        <x:v>434</x:v>
      </x:c>
      <x:c r="F24" s="60"/>
    </x:row>
    <x:row r="25" spans="1:8">
      <x:c r="A25" s="61" t="s">
        <x:v>425</x:v>
      </x:c>
      <x:c r="B25" s="76">
        <x:f>B24+'INPUT_CONFIG'!$C$48</x:f>
      </x:c>
      <x:c r="C25" s="76">
        <x:f>C24+'INPUT_CONFIG'!$C$49</x:f>
      </x:c>
      <x:c r="D25" s="62" t="s">
        <x:v>16</x:v>
      </x:c>
      <x:c r="E25" s="62" t="s">
        <x:v>435</x:v>
      </x:c>
      <x:c r="F25" s="64"/>
    </x:row>
    <x:row r="26" spans="1:8">
      <x:c r="A26" s="61" t="s">
        <x:v>426</x:v>
      </x:c>
      <x:c r="B26" s="76">
        <x:f>SCANNER_OFFSET!C7</x:f>
      </x:c>
      <x:c r="C26" s="76">
        <x:f>SCANNER_OFFSET!D7</x:f>
      </x:c>
      <x:c r="D26" s="62" t="s">
        <x:v>16</x:v>
      </x:c>
      <x:c r="E26" s="62" t="s">
        <x:v>436</x:v>
      </x:c>
      <x:c r="F26" s="64"/>
    </x:row>
    <x:row r="27" spans="1:8">
      <x:c r="A27" s="61" t="s">
        <x:v>427</x:v>
      </x:c>
      <x:c r="B27" s="76">
        <x:f>B25-B26</x:f>
      </x:c>
      <x:c r="C27" s="76">
        <x:f>C25-C26</x:f>
      </x:c>
      <x:c r="D27" s="62" t="s">
        <x:v>16</x:v>
      </x:c>
      <x:c r="E27" s="62" t="s">
        <x:v>437</x:v>
      </x:c>
      <x:c r="F27" s="64"/>
    </x:row>
    <x:row r="28" spans="1:8">
      <x:c r="A28" s="86" t="s">
        <x:v>428</x:v>
      </x:c>
      <x:c r="B28" s="88">
        <x:f>B27</x:f>
      </x:c>
      <x:c r="C28" s="88">
        <x:f>-C27</x:f>
      </x:c>
      <x:c r="D28" s="87" t="s">
        <x:v>16</x:v>
      </x:c>
      <x:c r="E28" s="87" t="s">
        <x:v>438</x:v>
      </x:c>
      <x:c r="F28" s="93" t="s">
        <x:v>439</x:v>
      </x:c>
    </x:row>
    <x:row r="29" spans="1:8">
      <x:c r="A29" s="86" t="s">
        <x:v>429</x:v>
      </x:c>
      <x:c r="B29" s="88">
        <x:f>'DOE16_MATRIX'!H16</x:f>
      </x:c>
      <x:c r="C29" s="88">
        <x:f>'DOE16_MATRIX'!I16</x:f>
      </x:c>
      <x:c r="D29" s="87" t="s">
        <x:v>16</x:v>
      </x:c>
      <x:c r="E29" s="87" t="s">
        <x:v>429</x:v>
      </x:c>
      <x:c r="F29" s="93" t="s">
        <x:v>440</x:v>
      </x:c>
    </x:row>
    <x:row r="30" spans="1:8">
      <x:c r="A30" s="86" t="s">
        <x:v>430</x:v>
      </x:c>
      <x:c r="B30" s="88">
        <x:f>B27+SCANNER_OFFSET!E7+B29</x:f>
      </x:c>
      <x:c r="C30" s="88">
        <x:f>C27+SCANNER_OFFSET!F7+C29</x:f>
      </x:c>
      <x:c r="D30" s="87" t="s">
        <x:v>16</x:v>
      </x:c>
      <x:c r="E30" s="87" t="s">
        <x:v>441</x:v>
      </x:c>
      <x:c r="F30" s="93" t="s">
        <x:v>442</x:v>
      </x:c>
    </x:row>
    <x:row r="31" spans="1:8">
      <x:c r="A31" s="61" t="s">
        <x:v>431</x:v>
      </x:c>
      <x:c r="B31" s="76">
        <x:f>B25-'INPUT_CONFIG'!$C$12+B29</x:f>
      </x:c>
      <x:c r="C31" s="76">
        <x:f>C25-'INPUT_CONFIG'!$C$13+C29</x:f>
      </x:c>
      <x:c r="D31" s="62" t="s">
        <x:v>16</x:v>
      </x:c>
      <x:c r="E31" s="62" t="s">
        <x:v>443</x:v>
      </x:c>
      <x:c r="F31" s="64"/>
    </x:row>
    <x:row r="32" spans="1:8">
      <x:c r="A32" s="94" t="s">
        <x:v>432</x:v>
      </x:c>
      <x:c r="B32" s="95">
        <x:f>B30-B31</x:f>
      </x:c>
      <x:c r="C32" s="95">
        <x:f>C30-C31</x:f>
      </x:c>
      <x:c r="D32" s="77" t="s">
        <x:v>16</x:v>
      </x:c>
      <x:c r="E32" s="77" t="s">
        <x:v>444</x:v>
      </x:c>
      <x:c r="F32" s="96"/>
    </x:row>
    <x:row r="33" spans="1:8">
      <x:c r="A33" s="65" t="s">
        <x:v>433</x:v>
      </x:c>
      <x:c r="B33" s="80">
        <x:f>'INPUT_CONFIG'!$C$14+B30/'INPUT_CONFIG'!$C$16</x:f>
      </x:c>
      <x:c r="C33" s="80">
        <x:f>'INPUT_CONFIG'!$C$15+C30/'INPUT_CONFIG'!$C$17</x:f>
      </x:c>
      <x:c r="D33" s="66" t="s">
        <x:v>38</x:v>
      </x:c>
      <x:c r="E33" s="66" t="s">
        <x:v>445</x:v>
      </x:c>
      <x:c r="F33" s="68"/>
    </x:row>
  </x:sheetData>
  <x:mergeCells count="5">
    <x:mergeCell ref="A1:H2"/>
    <x:mergeCell ref="A3:H3"/>
    <x:mergeCell ref="A5:H5"/>
    <x:mergeCell ref="A13:H13"/>
    <x:mergeCell ref="A22:H22"/>
  </x:mergeCells>
  <x:printOptions horizontalCentered="0" verticalCentered="0" headings="0" gridLines="0"/>
  <x:pageMargins left="0.25" right="0.25" top="0.4" bottom="0.4" header="0.5" footer="0.75"/>
  <x:pageSetup paperSize="1" fitToHeight="0" pageOrder="downThenOver" orientation="landscape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8B5CF6"/>
    <x:outlinePr summaryBelow="1" summaryRight="1"/>
    <x:pageSetUpPr fitToPage="1"/>
  </x:sheetPr>
  <x:dimension ref="A1:G21"/>
  <x:sheetViews>
    <x:sheetView showGridLines="0" workbookViewId="0">
      <x:pane xSplit="0" ySplit="5" topLeftCell="A6" activePane="bottomLeft" state="frozenSplit"/>
    </x:sheetView>
  </x:sheetViews>
  <x:sheetFormatPr defaultRowHeight="15"/>
  <x:cols>
    <x:col min="8" max="16384" width="9.140625" style="49" customWidth="1"/>
    <x:col min="1" max="1" width="20.710625" style="49" customWidth="1"/>
    <x:col min="2" max="3" width="42.710625" style="49" customWidth="1"/>
    <x:col min="4" max="4" width="20.710625" style="49" customWidth="1"/>
    <x:col min="5" max="5" width="34.710625" style="49" customWidth="1"/>
    <x:col min="6" max="6" width="52.710625" style="49" customWidth="1"/>
    <x:col min="7" max="7" width="22.710625" style="49" customWidth="1"/>
  </x:cols>
  <x:sheetData>
    <x:row r="1" spans="1:7" ht="28" customHeight="1">
      <x:c r="A1" s="51" t="s">
        <x:v>446</x:v>
      </x:c>
      <x:c r="B1" s="51"/>
      <x:c r="C1" s="51"/>
      <x:c r="D1" s="51"/>
      <x:c r="E1" s="51"/>
      <x:c r="F1" s="51"/>
      <x:c r="G1" s="51"/>
    </x:row>
    <x:row r="2" spans="1:7" ht="12" customHeight="1">
      <x:c r="A2" s="51"/>
      <x:c r="B2" s="51"/>
      <x:c r="C2" s="51"/>
      <x:c r="D2" s="51"/>
      <x:c r="E2" s="51"/>
      <x:c r="F2" s="51"/>
      <x:c r="G2" s="51"/>
    </x:row>
    <x:row r="3" spans="1:7">
      <x:c r="A3" s="97" t="s">
        <x:v>447</x:v>
      </x:c>
      <x:c r="B3" s="97"/>
      <x:c r="C3" s="97"/>
      <x:c r="D3" s="97"/>
      <x:c r="E3" s="97"/>
      <x:c r="F3" s="97"/>
      <x:c r="G3" s="97"/>
    </x:row>
    <x:row r="5" spans="1:7">
      <x:c r="A5" s="55" t="s">
        <x:v>448</x:v>
      </x:c>
      <x:c r="B5" s="55" t="s">
        <x:v>449</x:v>
      </x:c>
      <x:c r="C5" s="55" t="s">
        <x:v>450</x:v>
      </x:c>
      <x:c r="D5" s="55" t="s">
        <x:v>451</x:v>
      </x:c>
      <x:c r="E5" s="55" t="s">
        <x:v>452</x:v>
      </x:c>
      <x:c r="F5" s="55" t="s">
        <x:v>453</x:v>
      </x:c>
      <x:c r="G5" s="55" t="s">
        <x:v>454</x:v>
      </x:c>
    </x:row>
    <x:row r="6" spans="1:7">
      <x:c r="A6" s="57" t="s">
        <x:v>455</x:v>
      </x:c>
      <x:c r="B6" s="71" t="s">
        <x:v>456</x:v>
      </x:c>
      <x:c r="C6" s="98" t="s">
        <x:v>457</x:v>
      </x:c>
      <x:c r="D6" s="58" t="s">
        <x:v>458</x:v>
      </x:c>
      <x:c r="E6" s="58" t="s">
        <x:v>459</x:v>
      </x:c>
      <x:c r="F6" s="58" t="s">
        <x:v>460</x:v>
      </x:c>
      <x:c r="G6" s="60" t="s">
        <x:v>461</x:v>
      </x:c>
    </x:row>
    <x:row r="7" spans="1:7">
      <x:c r="A7" s="61" t="s">
        <x:v>462</x:v>
      </x:c>
      <x:c r="B7" s="75" t="s">
        <x:v>463</x:v>
      </x:c>
      <x:c r="C7" s="87" t="s">
        <x:v>464</x:v>
      </x:c>
      <x:c r="D7" s="62" t="s">
        <x:v>465</x:v>
      </x:c>
      <x:c r="E7" s="62" t="s">
        <x:v>466</x:v>
      </x:c>
      <x:c r="F7" s="62" t="s">
        <x:v>467</x:v>
      </x:c>
      <x:c r="G7" s="64" t="s">
        <x:v>468</x:v>
      </x:c>
    </x:row>
    <x:row r="8" spans="1:7">
      <x:c r="A8" s="61" t="s">
        <x:v>469</x:v>
      </x:c>
      <x:c r="B8" s="75" t="s">
        <x:v>470</x:v>
      </x:c>
      <x:c r="C8" s="87" t="s">
        <x:v>471</x:v>
      </x:c>
      <x:c r="D8" s="62" t="s">
        <x:v>465</x:v>
      </x:c>
      <x:c r="E8" s="62" t="s">
        <x:v>472</x:v>
      </x:c>
      <x:c r="F8" s="62" t="s">
        <x:v>473</x:v>
      </x:c>
      <x:c r="G8" s="64" t="s">
        <x:v>474</x:v>
      </x:c>
    </x:row>
    <x:row r="9" spans="1:7">
      <x:c r="A9" s="61" t="s">
        <x:v>475</x:v>
      </x:c>
      <x:c r="B9" s="75" t="s">
        <x:v>476</x:v>
      </x:c>
      <x:c r="C9" s="87" t="s">
        <x:v>477</x:v>
      </x:c>
      <x:c r="D9" s="62" t="s">
        <x:v>458</x:v>
      </x:c>
      <x:c r="E9" s="62" t="s">
        <x:v>478</x:v>
      </x:c>
      <x:c r="F9" s="62" t="s">
        <x:v>479</x:v>
      </x:c>
      <x:c r="G9" s="64" t="s">
        <x:v>480</x:v>
      </x:c>
    </x:row>
    <x:row r="10" spans="1:7">
      <x:c r="A10" s="61" t="s">
        <x:v>481</x:v>
      </x:c>
      <x:c r="B10" s="75" t="s">
        <x:v>482</x:v>
      </x:c>
      <x:c r="C10" s="87" t="s">
        <x:v>482</x:v>
      </x:c>
      <x:c r="D10" s="62" t="s">
        <x:v>483</x:v>
      </x:c>
      <x:c r="E10" s="62" t="s">
        <x:v>484</x:v>
      </x:c>
      <x:c r="F10" s="62" t="s">
        <x:v>485</x:v>
      </x:c>
      <x:c r="G10" s="64" t="s">
        <x:v>486</x:v>
      </x:c>
    </x:row>
    <x:row r="11" spans="1:7">
      <x:c r="A11" s="61" t="s">
        <x:v>487</x:v>
      </x:c>
      <x:c r="B11" s="75" t="s">
        <x:v>488</x:v>
      </x:c>
      <x:c r="C11" s="87" t="s">
        <x:v>488</x:v>
      </x:c>
      <x:c r="D11" s="62" t="s">
        <x:v>489</x:v>
      </x:c>
      <x:c r="E11" s="62" t="s">
        <x:v>490</x:v>
      </x:c>
      <x:c r="F11" s="62" t="s">
        <x:v>491</x:v>
      </x:c>
      <x:c r="G11" s="64" t="s">
        <x:v>492</x:v>
      </x:c>
    </x:row>
    <x:row r="12" spans="1:7">
      <x:c r="A12" s="61" t="s">
        <x:v>493</x:v>
      </x:c>
      <x:c r="B12" s="75" t="s">
        <x:v>494</x:v>
      </x:c>
      <x:c r="C12" s="87" t="s">
        <x:v>495</x:v>
      </x:c>
      <x:c r="D12" s="62" t="s">
        <x:v>496</x:v>
      </x:c>
      <x:c r="E12" s="62" t="s">
        <x:v>497</x:v>
      </x:c>
      <x:c r="F12" s="62" t="s">
        <x:v>498</x:v>
      </x:c>
      <x:c r="G12" s="64" t="s">
        <x:v>474</x:v>
      </x:c>
    </x:row>
    <x:row r="13" spans="1:7">
      <x:c r="A13" s="61" t="s">
        <x:v>499</x:v>
      </x:c>
      <x:c r="B13" s="75" t="s">
        <x:v>500</x:v>
      </x:c>
      <x:c r="C13" s="87" t="s">
        <x:v>500</x:v>
      </x:c>
      <x:c r="D13" s="62" t="s">
        <x:v>501</x:v>
      </x:c>
      <x:c r="E13" s="62" t="s">
        <x:v>502</x:v>
      </x:c>
      <x:c r="F13" s="62" t="s">
        <x:v>503</x:v>
      </x:c>
      <x:c r="G13" s="64" t="s">
        <x:v>504</x:v>
      </x:c>
    </x:row>
    <x:row r="14" spans="1:7">
      <x:c r="A14" s="61" t="s">
        <x:v>505</x:v>
      </x:c>
      <x:c r="B14" s="75" t="s">
        <x:v>506</x:v>
      </x:c>
      <x:c r="C14" s="87" t="s">
        <x:v>506</x:v>
      </x:c>
      <x:c r="D14" s="62" t="s">
        <x:v>507</x:v>
      </x:c>
      <x:c r="E14" s="62" t="s">
        <x:v>508</x:v>
      </x:c>
      <x:c r="F14" s="62" t="s">
        <x:v>509</x:v>
      </x:c>
      <x:c r="G14" s="64" t="s">
        <x:v>510</x:v>
      </x:c>
    </x:row>
    <x:row r="15" spans="1:7">
      <x:c r="A15" s="65" t="s">
        <x:v>511</x:v>
      </x:c>
      <x:c r="B15" s="79" t="s">
        <x:v>512</x:v>
      </x:c>
      <x:c r="C15" s="99" t="s">
        <x:v>512</x:v>
      </x:c>
      <x:c r="D15" s="66" t="s">
        <x:v>513</x:v>
      </x:c>
      <x:c r="E15" s="66" t="s">
        <x:v>514</x:v>
      </x:c>
      <x:c r="F15" s="66" t="s">
        <x:v>515</x:v>
      </x:c>
      <x:c r="G15" s="68" t="s">
        <x:v>516</x:v>
      </x:c>
    </x:row>
    <x:row r="18" spans="1:7" ht="24" customHeight="1">
      <x:c r="A18" s="91" t="s">
        <x:v>517</x:v>
      </x:c>
      <x:c r="B18" s="91"/>
      <x:c r="C18" s="91"/>
      <x:c r="D18" s="91"/>
      <x:c r="E18" s="91"/>
      <x:c r="F18" s="91"/>
      <x:c r="G18" s="91"/>
    </x:row>
    <x:row r="19" spans="1:7">
      <x:c r="A19" s="57" t="s">
        <x:v>518</x:v>
      </x:c>
      <x:c r="B19" s="60" t="s">
        <x:v>519</x:v>
      </x:c>
    </x:row>
    <x:row r="20" spans="1:7">
      <x:c r="A20" s="61" t="s">
        <x:v>518</x:v>
      </x:c>
      <x:c r="B20" s="64" t="s">
        <x:v>520</x:v>
      </x:c>
    </x:row>
    <x:row r="21" spans="1:7">
      <x:c r="A21" s="65" t="s">
        <x:v>521</x:v>
      </x:c>
      <x:c r="B21" s="68" t="s">
        <x:v>522</x:v>
      </x:c>
    </x:row>
  </x:sheetData>
  <x:mergeCells count="3">
    <x:mergeCell ref="A1:G2"/>
    <x:mergeCell ref="A3:G3"/>
    <x:mergeCell ref="A18:G18"/>
  </x:mergeCells>
  <x:printOptions horizontalCentered="0" verticalCentered="0" headings="0" gridLines="0"/>
  <x:pageMargins left="0.25" right="0.25" top="0.4" bottom="0.4" header="0.5" footer="0.75"/>
  <x:pageSetup paperSize="1" fitToHeight="0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UPDATE_SUMMARY</vt:lpstr>
      <vt:lpstr>INPUT_CONFIG</vt:lpstr>
      <vt:lpstr>SCANNER_OFFSET</vt:lpstr>
      <vt:lpstr>DOE16_MATRIX</vt:lpstr>
      <vt:lpstr>COORDINATE_CHECK</vt:lpstr>
      <vt:lpstr>A1_EXECUTION_MODE</vt:lpstr>
      <vt:lpstr>LEGACY_20260717</vt:lpstr>
      <vt:lpstr>LEGACY_20260717!Print_Area</vt:lpstr>
      <vt:lpstr>LEGACY_20260717!Print_Titles</vt:lpstr>
      <vt:lpstr>INPUT_CONFIG!Print_Area</vt:lpstr>
      <vt:lpstr>INPUT_CONFIG!Print_Titles</vt:lpstr>
      <vt:lpstr>SCANNER_OFFSET!Print_Area</vt:lpstr>
      <vt:lpstr>SCANNER_OFFSET!Print_Titles</vt:lpstr>
      <vt:lpstr>DOE16_MATRIX!Print_Area</vt:lpstr>
      <vt:lpstr>DOE16_MATRIX!Print_Titles</vt:lpstr>
      <vt:lpstr>COORDINATE_CHECK!Print_Area</vt:lpstr>
      <vt:lpstr>COORDINATE_CHECK!Print_Titles</vt:lpstr>
      <vt:lpstr>A1_EXECUTION_MODE!Print_Area</vt:lpstr>
      <vt:lpstr>A1_EXECUTION_MODE!Print_Titles</vt:lpstr>
      <vt:lpstr>UPDATE_SUMMARY!Print_Area</vt:lpstr>
      <vt:lpstr>UPDATE_SUMMARY!Print_Titles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